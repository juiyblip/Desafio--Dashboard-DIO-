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d3a6283c0b27a7/Documents/"/>
    </mc:Choice>
  </mc:AlternateContent>
  <xr:revisionPtr revIDLastSave="0" documentId="8_{2D539AB9-43CD-4D27-B691-F4BF76AEC98B}" xr6:coauthVersionLast="47" xr6:coauthVersionMax="47" xr10:uidLastSave="{00000000-0000-0000-0000-000000000000}"/>
  <bookViews>
    <workbookView xWindow="-120" yWindow="-120" windowWidth="20730" windowHeight="11040" tabRatio="847" firstSheet="5" activeTab="5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7" state="hidden" r:id="rId4"/>
    <sheet name="C̳álculos" sheetId="3" state="hidden" r:id="rId5"/>
    <sheet name="D̳ashboard" sheetId="4" r:id="rId6"/>
  </sheets>
  <definedNames>
    <definedName name="SegmentaçãodeDados_Subscription_Type">#N/A</definedName>
  </definedNames>
  <calcPr calcId="191029"/>
  <pivotCaches>
    <pivotCache cacheId="1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18" i="3"/>
</calcChain>
</file>

<file path=xl/sharedStrings.xml><?xml version="1.0" encoding="utf-8"?>
<sst xmlns="http://schemas.openxmlformats.org/spreadsheetml/2006/main" count="3188" uniqueCount="324">
  <si>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</si>
  <si>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</si>
  <si>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</si>
  <si>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</si>
  <si>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</si>
  <si>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</si>
  <si>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</si>
  <si>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</si>
  <si>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</si>
  <si>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</si>
  <si>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</si>
  <si>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</si>
  <si>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</si>
  <si>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</si>
  <si>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</si>
  <si>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</si>
  <si>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</si>
  <si>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</si>
  <si>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</si>
  <si>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</si>
  <si>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</si>
  <si>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</si>
  <si>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</si>
  <si>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</si>
  <si>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</si>
  <si>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</si>
  <si>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</si>
  <si>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</si>
  <si>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</si>
  <si>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</si>
  <si>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</si>
  <si>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</si>
  <si>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</si>
  <si>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</si>
  <si>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</si>
  <si>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</si>
  <si>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</si>
  <si>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</si>
  <si>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</si>
  <si>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</si>
  <si>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</si>
  <si>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</si>
  <si>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</si>
  <si>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</si>
  <si>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</si>
  <si>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</si>
  <si>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</si>
  <si>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</si>
  <si>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</si>
  <si>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</si>
  <si>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</si>
  <si>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</si>
  <si>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</si>
  <si>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</si>
  <si>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</si>
  <si>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</si>
  <si>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</si>
  <si>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</si>
  <si>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</si>
  <si>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</si>
  <si>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</si>
  <si>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</si>
  <si>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</si>
  <si>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</si>
  <si>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</si>
  <si>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</si>
  <si>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</si>
  <si>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</si>
  <si>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</si>
  <si>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</si>
  <si>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</si>
  <si>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</si>
  <si>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</si>
  <si>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</si>
  <si>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</si>
  <si>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</si>
  <si>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</si>
  <si>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</si>
  <si>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</si>
  <si>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</si>
  <si>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</si>
  <si>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</si>
  <si>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</si>
  <si>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</si>
  <si>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</si>
  <si>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</si>
  <si>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</si>
  <si>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</si>
  <si>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</si>
  <si>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</si>
  <si>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</si>
  <si>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</si>
  <si>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</si>
  <si>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</si>
  <si>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</si>
  <si>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</si>
  <si>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</si>
  <si>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</si>
  <si>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</si>
  <si>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</si>
  <si>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</si>
  <si>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</si>
  <si>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</si>
  <si>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</si>
  <si>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</si>
  <si>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</si>
  <si>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</si>
  <si>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</si>
  <si>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</si>
  <si>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</si>
  <si>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</si>
  <si>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</si>
  <si>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</si>
  <si>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</si>
  <si>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</si>
  <si>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</si>
  <si>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</si>
  <si>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</si>
  <si>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</si>
  <si>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</si>
  <si>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</si>
  <si>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</si>
  <si>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</si>
  <si>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</si>
  <si>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</si>
  <si>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</si>
  <si>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</si>
  <si>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</si>
  <si>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</si>
  <si>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</si>
  <si>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</si>
  <si>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</si>
  <si>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</si>
  <si>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</si>
  <si>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</si>
  <si>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</si>
  <si>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</si>
  <si>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</si>
  <si>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</si>
  <si>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</si>
  <si>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</si>
  <si>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</si>
  <si>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</si>
  <si>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</si>
  <si>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</si>
  <si>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</si>
  <si>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</si>
  <si>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</si>
  <si>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</si>
  <si>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</si>
  <si>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</si>
  <si>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</si>
  <si>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</si>
  <si>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</si>
  <si>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</si>
  <si>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</si>
  <si>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</si>
  <si>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</si>
  <si>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</si>
  <si>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</si>
  <si>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</si>
  <si>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</si>
  <si>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</si>
  <si>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</si>
  <si>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</si>
  <si>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</si>
  <si>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</si>
  <si>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</si>
  <si>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</si>
  <si>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</si>
  <si>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</si>
  <si>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</si>
  <si>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</si>
  <si>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</si>
  <si>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</si>
  <si>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</si>
  <si>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</si>
  <si>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</si>
  <si>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</si>
  <si>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</si>
  <si>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</si>
  <si>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</si>
  <si>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</si>
  <si>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</si>
  <si>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</si>
  <si>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</si>
  <si>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</si>
  <si>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</si>
  <si>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</si>
  <si>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</si>
  <si>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</si>
  <si>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</si>
  <si>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</si>
  <si>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</si>
  <si>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</si>
  <si>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</si>
  <si>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</si>
  <si>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</si>
  <si>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</si>
  <si>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</si>
  <si>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</si>
  <si>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</si>
  <si>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</si>
  <si>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</si>
  <si>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</si>
  <si>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</si>
  <si>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</si>
  <si>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</si>
  <si>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</si>
  <si>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</si>
  <si>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</si>
  <si>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</si>
  <si>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</si>
  <si>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</si>
  <si>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</si>
  <si>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</si>
  <si>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</si>
  <si>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</si>
  <si>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</si>
  <si>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</si>
  <si>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</si>
  <si>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</si>
  <si>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</si>
  <si>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</si>
  <si>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</si>
  <si>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</si>
  <si>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</si>
  <si>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</si>
  <si>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</si>
  <si>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</si>
  <si>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</si>
  <si>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</si>
  <si>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</si>
  <si>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</si>
  <si>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</si>
  <si>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</si>
  <si>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</si>
  <si>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</si>
  <si>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</si>
  <si>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</si>
  <si>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</si>
  <si>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</si>
  <si>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</si>
  <si>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</si>
  <si>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</si>
  <si>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</si>
  <si>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</si>
  <si>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</si>
  <si>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</si>
  <si>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</si>
  <si>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</si>
  <si>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</si>
  <si>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</si>
  <si>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</si>
  <si>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</si>
  <si>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</si>
  <si>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</si>
  <si>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</si>
  <si>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</si>
  <si>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</si>
  <si>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</si>
  <si>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</si>
  <si>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</si>
  <si>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</si>
  <si>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</si>
  <si>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</si>
  <si>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</si>
  <si>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</si>
  <si>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</si>
  <si>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</si>
  <si>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</si>
  <si>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</si>
  <si>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</si>
  <si>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</si>
  <si>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</si>
  <si>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</si>
  <si>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</si>
  <si>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</si>
  <si>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</si>
  <si>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</si>
  <si>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</si>
  <si>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</si>
  <si>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</si>
  <si>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</si>
  <si>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</si>
  <si>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</si>
  <si>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</si>
  <si>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</si>
  <si>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</si>
  <si>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</si>
  <si>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</si>
  <si>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</si>
  <si>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</si>
  <si>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</si>
  <si>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</si>
  <si>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</si>
  <si>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</si>
  <si>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</si>
  <si>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</si>
  <si>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</si>
  <si>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</si>
  <si>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</si>
  <si>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</si>
  <si>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</si>
  <si>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</si>
  <si>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</si>
  <si>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</si>
  <si>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</si>
  <si>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</si>
  <si>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</si>
  <si>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</si>
  <si>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</si>
  <si>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</si>
  <si>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</si>
  <si>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</si>
  <si>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</si>
  <si>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total de vendas de planis anuais</t>
  </si>
  <si>
    <t>Detalhes do Soma de Total Value - Auto Renewal: No, Subscription Type: Annual (+)</t>
  </si>
  <si>
    <t>PERGUNTA DE NEGÓCIO 3 - TOTAL DE VENDAS DE ASSINATURAS DO  EA PLAY</t>
  </si>
  <si>
    <t>Detalhes do Soma de Total Value - Auto Renewal: No, Subscription Type: Quarterly</t>
  </si>
  <si>
    <t>Soma de EA Play Season Pass</t>
  </si>
  <si>
    <t>PERGUNTA  DE NEGÓCIO 4- TOTAL DE VENDAS DE ASSINATURA DO MINECRAFT SEASON PASS</t>
  </si>
  <si>
    <t>Soma de Minecraft Season Pass Price</t>
  </si>
  <si>
    <t xml:space="preserve">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</si>
</sst>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Cascadia Code SemiLight"/>
      <family val="3"/>
    </font>
    <font>
      <b/>
      <sz val="15"/>
      <color rgb="FF22C55E"/>
      <name val="Cascadia Code SemiLight"/>
      <family val="3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5" borderId="2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165" fontId="0" fillId="0" borderId="0" xfId="0" applyNumberFormat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2">
    <dxf>
      <fill>
        <patternFill patternType="solid">
          <bgColor rgb="FF2AE6B1"/>
        </patternFill>
      </fill>
    </dxf>
    <dxf>
      <font>
        <b val="0"/>
        <i val="0"/>
        <sz val="16"/>
        <color theme="0"/>
        <name val="ADLaM Display"/>
        <scheme val="none"/>
      </font>
      <fill>
        <patternFill>
          <bgColor rgb="FF2AE6B1"/>
        </patternFill>
      </fill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bgColor rgb="FF2AE6B1"/>
        </patternFill>
      </fill>
    </dxf>
    <dxf>
      <font>
        <b/>
        <i val="0"/>
      </font>
    </dxf>
    <dxf>
      <font>
        <color theme="1"/>
      </font>
      <fill>
        <patternFill>
          <bgColor rgb="FFFFFF99"/>
        </patternFill>
      </fill>
    </dxf>
    <dxf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Estilo de Segmentação de Dados 1" pivot="0" table="0" count="2" xr9:uid="{1ADD72D4-E126-4994-ADC8-E3FDCCF6696D}">
      <tableStyleElement type="wholeTable" dxfId="21"/>
      <tableStyleElement type="headerRow" dxfId="20"/>
    </tableStyle>
    <tableStyle name="Estilo de Segmentação de Dados 2" pivot="0" table="0" count="1" xr9:uid="{31C11092-AC8D-4965-9162-FB96E67E57CE}"/>
    <tableStyle name="Estilo de Segmentação de Dados 3" pivot="0" table="0" count="4" xr9:uid="{0E963CF2-538C-4F65-976C-615B649A7955}">
      <tableStyleElement type="wholeTable" dxfId="1"/>
      <tableStyleElement type="headerRow" dxfId="0"/>
    </tableStyle>
    <tableStyle name="Estilo de Segmentação de Dados 4" pivot="0" table="0" count="1" xr9:uid="{A57E6C53-ED8F-4AC1-91A5-013E7EEA5C29}">
      <tableStyleElement type="wholeTable" dxfId="19"/>
    </tableStyle>
    <tableStyle name="Estilo de Segmentação de Dados 5" pivot="0" table="0" count="1" xr9:uid="{0170CB17-C328-4064-BEA2-6141BFF4D1B5}">
      <tableStyleElement type="wholeTable" dxfId="18"/>
    </tableStyle>
  </tableStyles>
  <colors>
    <mruColors>
      <color rgb="FF22C55E"/>
      <color rgb="FF5BF6A8"/>
      <color rgb="FF2AE6B1"/>
      <color rgb="FFF7F8FC"/>
      <color rgb="FFFFFF99"/>
      <color rgb="FFE8E6E9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0" tint="-4.9989318521683403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9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4.9989318521683403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5BF6A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NoData" dxfId="4"/>
          </x14:slicerStyleElements>
        </x14:slicerStyle>
        <x14:slicerStyle name="Estilo de Segmentação de Dados 3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4"/>
        <x14:slicerStyle name="Estilo de Segmentação de Dad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CRIANDO DASHBOARD (!).xlsx]C̳álculos!tbl_annual_total</c:name>
    <c:fmtId val="1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62860093929536"/>
          <c:y val="5.8854367728990623E-2"/>
          <c:w val="0.63730715892081835"/>
          <c:h val="0.870322103836486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C̳álculos!$B$6:$B$8</c:f>
              <c:numCache>
                <c:formatCode>_-"R$"\ * #\ ##0.00_-;\-"R$"\ * #\ 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C-49D2-B90F-6F0DE70C4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5220720"/>
        <c:axId val="295226960"/>
      </c:barChart>
      <c:catAx>
        <c:axId val="29522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5226960"/>
        <c:crosses val="autoZero"/>
        <c:auto val="1"/>
        <c:lblAlgn val="ctr"/>
        <c:lblOffset val="100"/>
        <c:noMultiLvlLbl val="0"/>
      </c:catAx>
      <c:valAx>
        <c:axId val="295226960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29522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4510" y="5437545"/>
          <a:ext cx="1541180" cy="75862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114299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114299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359693</xdr:colOff>
      <xdr:row>2</xdr:row>
      <xdr:rowOff>190232</xdr:rowOff>
    </xdr:from>
    <xdr:to>
      <xdr:col>3</xdr:col>
      <xdr:colOff>372341</xdr:colOff>
      <xdr:row>2</xdr:row>
      <xdr:rowOff>1114969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E13B641-E7F9-4B01-A166-4AAAC9D130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01" t="1" r="72497" b="8232"/>
        <a:stretch>
          <a:fillRect/>
        </a:stretch>
      </xdr:blipFill>
      <xdr:spPr>
        <a:xfrm>
          <a:off x="2411898" y="571232"/>
          <a:ext cx="618784" cy="924737"/>
        </a:xfrm>
        <a:prstGeom prst="rect">
          <a:avLst/>
        </a:prstGeom>
      </xdr:spPr>
    </xdr:pic>
    <xdr:clientData/>
  </xdr:twoCellAnchor>
  <xdr:twoCellAnchor editAs="absolute">
    <xdr:from>
      <xdr:col>0</xdr:col>
      <xdr:colOff>9621</xdr:colOff>
      <xdr:row>4</xdr:row>
      <xdr:rowOff>182754</xdr:rowOff>
    </xdr:from>
    <xdr:to>
      <xdr:col>0</xdr:col>
      <xdr:colOff>1776064</xdr:colOff>
      <xdr:row>17</xdr:row>
      <xdr:rowOff>8107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7DB072C-AD93-45CA-831E-9F8B51F3A8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1" y="1819863"/>
              <a:ext cx="1766443" cy="22363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469445</xdr:colOff>
      <xdr:row>7</xdr:row>
      <xdr:rowOff>34875</xdr:rowOff>
    </xdr:from>
    <xdr:to>
      <xdr:col>12</xdr:col>
      <xdr:colOff>239793</xdr:colOff>
      <xdr:row>15</xdr:row>
      <xdr:rowOff>125278</xdr:rowOff>
    </xdr:to>
    <xdr:sp macro="" textlink="C̳álculos!AJ44">
      <xdr:nvSpPr>
        <xdr:cNvPr id="10" name="Retângulo 9">
          <a:extLst>
            <a:ext uri="{FF2B5EF4-FFF2-40B4-BE49-F238E27FC236}">
              <a16:creationId xmlns:a16="http://schemas.microsoft.com/office/drawing/2014/main" id="{B780C216-55AA-4F7E-8CD7-2C1DB001D373}"/>
            </a:ext>
          </a:extLst>
        </xdr:cNvPr>
        <xdr:cNvSpPr/>
      </xdr:nvSpPr>
      <xdr:spPr>
        <a:xfrm>
          <a:off x="4973409" y="2348089"/>
          <a:ext cx="3267384" cy="161440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C8F7F9A-DCF0-4736-B44A-D599B406B15A}" type="TxLink">
            <a:rPr lang="en-US" sz="5400" b="0" i="0" u="none" strike="noStrike">
              <a:solidFill>
                <a:srgbClr val="22C55E"/>
              </a:solidFill>
              <a:latin typeface="Aptos Narrow"/>
            </a:rPr>
            <a:pPr algn="ctr"/>
            <a:t> </a:t>
          </a:fld>
          <a:endParaRPr lang="pt-BR" sz="54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81643</xdr:colOff>
      <xdr:row>4</xdr:row>
      <xdr:rowOff>167820</xdr:rowOff>
    </xdr:from>
    <xdr:to>
      <xdr:col>12</xdr:col>
      <xdr:colOff>342428</xdr:colOff>
      <xdr:row>15</xdr:row>
      <xdr:rowOff>62313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2998B104-A3A6-12FC-DF80-03F7A000117A}"/>
            </a:ext>
          </a:extLst>
        </xdr:cNvPr>
        <xdr:cNvGrpSpPr/>
      </xdr:nvGrpSpPr>
      <xdr:grpSpPr>
        <a:xfrm>
          <a:off x="2129073" y="1841371"/>
          <a:ext cx="6144920" cy="2022040"/>
          <a:chOff x="2326822" y="2258784"/>
          <a:chExt cx="6207134" cy="2037618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C35BEED4-C4FC-8709-ECD5-8CF1EC4EF1F3}"/>
              </a:ext>
            </a:extLst>
          </xdr:cNvPr>
          <xdr:cNvSpPr/>
        </xdr:nvSpPr>
        <xdr:spPr>
          <a:xfrm>
            <a:off x="2357438" y="2354035"/>
            <a:ext cx="6167437" cy="1698565"/>
          </a:xfrm>
          <a:custGeom>
            <a:avLst/>
            <a:gdLst>
              <a:gd name="csX0" fmla="*/ 0 w 5630176"/>
              <a:gd name="csY0" fmla="*/ 0 h 2329237"/>
              <a:gd name="csX1" fmla="*/ 5630176 w 5630176"/>
              <a:gd name="csY1" fmla="*/ 0 h 2329237"/>
              <a:gd name="csX2" fmla="*/ 5630176 w 5630176"/>
              <a:gd name="csY2" fmla="*/ 2329237 h 2329237"/>
              <a:gd name="csX3" fmla="*/ 0 w 5630176"/>
              <a:gd name="csY3" fmla="*/ 2329237 h 2329237"/>
              <a:gd name="csX4" fmla="*/ 0 w 5630176"/>
              <a:gd name="csY4" fmla="*/ 0 h 2329237"/>
              <a:gd name="csX0" fmla="*/ 61452 w 5630176"/>
              <a:gd name="csY0" fmla="*/ 15363 h 2329237"/>
              <a:gd name="csX1" fmla="*/ 5630176 w 5630176"/>
              <a:gd name="csY1" fmla="*/ 0 h 2329237"/>
              <a:gd name="csX2" fmla="*/ 5630176 w 5630176"/>
              <a:gd name="csY2" fmla="*/ 2329237 h 2329237"/>
              <a:gd name="csX3" fmla="*/ 0 w 5630176"/>
              <a:gd name="csY3" fmla="*/ 2329237 h 2329237"/>
              <a:gd name="csX4" fmla="*/ 61452 w 5630176"/>
              <a:gd name="csY4" fmla="*/ 15363 h 2329237"/>
              <a:gd name="csX0" fmla="*/ 0 w 5649012"/>
              <a:gd name="csY0" fmla="*/ 0 h 2358644"/>
              <a:gd name="csX1" fmla="*/ 5649012 w 5649012"/>
              <a:gd name="csY1" fmla="*/ 29407 h 2358644"/>
              <a:gd name="csX2" fmla="*/ 5649012 w 5649012"/>
              <a:gd name="csY2" fmla="*/ 2358644 h 2358644"/>
              <a:gd name="csX3" fmla="*/ 18836 w 5649012"/>
              <a:gd name="csY3" fmla="*/ 2358644 h 2358644"/>
              <a:gd name="csX4" fmla="*/ 0 w 5649012"/>
              <a:gd name="csY4" fmla="*/ 0 h 2358644"/>
              <a:gd name="csX0" fmla="*/ 0 w 5643278"/>
              <a:gd name="csY0" fmla="*/ 0 h 2358644"/>
              <a:gd name="csX1" fmla="*/ 5643278 w 5643278"/>
              <a:gd name="csY1" fmla="*/ 29407 h 2358644"/>
              <a:gd name="csX2" fmla="*/ 5643278 w 5643278"/>
              <a:gd name="csY2" fmla="*/ 2358644 h 2358644"/>
              <a:gd name="csX3" fmla="*/ 13102 w 5643278"/>
              <a:gd name="csY3" fmla="*/ 2358644 h 2358644"/>
              <a:gd name="csX4" fmla="*/ 0 w 5643278"/>
              <a:gd name="csY4" fmla="*/ 0 h 2358644"/>
              <a:gd name="csX0" fmla="*/ 0 w 5631808"/>
              <a:gd name="csY0" fmla="*/ 0 h 2358644"/>
              <a:gd name="csX1" fmla="*/ 5631808 w 5631808"/>
              <a:gd name="csY1" fmla="*/ 29407 h 2358644"/>
              <a:gd name="csX2" fmla="*/ 5631808 w 5631808"/>
              <a:gd name="csY2" fmla="*/ 2358644 h 2358644"/>
              <a:gd name="csX3" fmla="*/ 1632 w 5631808"/>
              <a:gd name="csY3" fmla="*/ 2358644 h 2358644"/>
              <a:gd name="csX4" fmla="*/ 0 w 5631808"/>
              <a:gd name="csY4" fmla="*/ 0 h 235864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5631808" h="2358644">
                <a:moveTo>
                  <a:pt x="0" y="0"/>
                </a:moveTo>
                <a:lnTo>
                  <a:pt x="5631808" y="29407"/>
                </a:lnTo>
                <a:lnTo>
                  <a:pt x="5631808" y="2358644"/>
                </a:lnTo>
                <a:lnTo>
                  <a:pt x="1632" y="2358644"/>
                </a:lnTo>
                <a:cubicBezTo>
                  <a:pt x="-2735" y="1572429"/>
                  <a:pt x="4367" y="786215"/>
                  <a:pt x="0" y="0"/>
                </a:cubicBezTo>
                <a:close/>
              </a:path>
            </a:pathLst>
          </a:custGeom>
          <a:solidFill>
            <a:sysClr val="window" lastClr="FFFFFF"/>
          </a:soli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02378416-A772-4ACF-9A0A-A8ED450487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0714" y="2286320"/>
            <a:ext cx="1928193" cy="2010082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3DACFD0E-5B0B-870C-81B6-D619826C4641}"/>
              </a:ext>
            </a:extLst>
          </xdr:cNvPr>
          <xdr:cNvSpPr/>
        </xdr:nvSpPr>
        <xdr:spPr>
          <a:xfrm>
            <a:off x="2326822" y="2258784"/>
            <a:ext cx="6207134" cy="38638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 SEASON PASS</a:t>
            </a:r>
            <a:endParaRPr lang="pt-BR" sz="1600"/>
          </a:p>
        </xdr:txBody>
      </xdr:sp>
      <xdr:sp macro="" textlink="C̳álculos!D18">
        <xdr:nvSpPr>
          <xdr:cNvPr id="15" name="Retângulo 14">
            <a:extLst>
              <a:ext uri="{FF2B5EF4-FFF2-40B4-BE49-F238E27FC236}">
                <a16:creationId xmlns:a16="http://schemas.microsoft.com/office/drawing/2014/main" id="{124E09F6-888C-85E8-1F79-0809617740CD}"/>
              </a:ext>
            </a:extLst>
          </xdr:cNvPr>
          <xdr:cNvSpPr/>
        </xdr:nvSpPr>
        <xdr:spPr>
          <a:xfrm>
            <a:off x="5089071" y="2884716"/>
            <a:ext cx="3034393" cy="8300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B602F61B-4F0D-4513-BD39-368CEE7EB7B3}" type="TxLink">
              <a:rPr lang="en-US" sz="4800" b="0" i="0" u="none" strike="noStrike">
                <a:solidFill>
                  <a:srgbClr val="22C55E"/>
                </a:solidFill>
                <a:latin typeface="Aptos Narrow"/>
              </a:rPr>
              <a:pPr algn="l"/>
              <a:t> R$ 600,00 </a:t>
            </a:fld>
            <a:endParaRPr lang="pt-BR" sz="48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13</xdr:col>
      <xdr:colOff>94463</xdr:colOff>
      <xdr:row>4</xdr:row>
      <xdr:rowOff>165699</xdr:rowOff>
    </xdr:from>
    <xdr:to>
      <xdr:col>23</xdr:col>
      <xdr:colOff>138796</xdr:colOff>
      <xdr:row>14</xdr:row>
      <xdr:rowOff>18556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2E50AF0A-2F10-E7B1-BC57-13DA2E1187F8}"/>
            </a:ext>
          </a:extLst>
        </xdr:cNvPr>
        <xdr:cNvGrpSpPr/>
      </xdr:nvGrpSpPr>
      <xdr:grpSpPr>
        <a:xfrm>
          <a:off x="8631356" y="1839250"/>
          <a:ext cx="6097604" cy="1793465"/>
          <a:chOff x="9487082" y="1836850"/>
          <a:chExt cx="6167431" cy="1725258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FAA8FF45-D2F5-4B49-9241-0B97FB632AA9}"/>
              </a:ext>
            </a:extLst>
          </xdr:cNvPr>
          <xdr:cNvGrpSpPr/>
        </xdr:nvGrpSpPr>
        <xdr:grpSpPr>
          <a:xfrm>
            <a:off x="9487082" y="1836850"/>
            <a:ext cx="6167431" cy="1725258"/>
            <a:chOff x="2349689" y="2258784"/>
            <a:chExt cx="6169123" cy="1799741"/>
          </a:xfrm>
        </xdr:grpSpPr>
        <xdr:sp macro="" textlink="">
          <xdr:nvSpPr>
            <xdr:cNvPr id="18" name="Retângulo 8">
              <a:extLst>
                <a:ext uri="{FF2B5EF4-FFF2-40B4-BE49-F238E27FC236}">
                  <a16:creationId xmlns:a16="http://schemas.microsoft.com/office/drawing/2014/main" id="{4037A9E0-347D-DE50-1B52-36BC647330E8}"/>
                </a:ext>
              </a:extLst>
            </xdr:cNvPr>
            <xdr:cNvSpPr/>
          </xdr:nvSpPr>
          <xdr:spPr>
            <a:xfrm>
              <a:off x="2351375" y="2359960"/>
              <a:ext cx="6167437" cy="1698565"/>
            </a:xfrm>
            <a:custGeom>
              <a:avLst/>
              <a:gdLst>
                <a:gd name="csX0" fmla="*/ 0 w 5630176"/>
                <a:gd name="csY0" fmla="*/ 0 h 2329237"/>
                <a:gd name="csX1" fmla="*/ 5630176 w 5630176"/>
                <a:gd name="csY1" fmla="*/ 0 h 2329237"/>
                <a:gd name="csX2" fmla="*/ 5630176 w 5630176"/>
                <a:gd name="csY2" fmla="*/ 2329237 h 2329237"/>
                <a:gd name="csX3" fmla="*/ 0 w 5630176"/>
                <a:gd name="csY3" fmla="*/ 2329237 h 2329237"/>
                <a:gd name="csX4" fmla="*/ 0 w 5630176"/>
                <a:gd name="csY4" fmla="*/ 0 h 2329237"/>
                <a:gd name="csX0" fmla="*/ 61452 w 5630176"/>
                <a:gd name="csY0" fmla="*/ 15363 h 2329237"/>
                <a:gd name="csX1" fmla="*/ 5630176 w 5630176"/>
                <a:gd name="csY1" fmla="*/ 0 h 2329237"/>
                <a:gd name="csX2" fmla="*/ 5630176 w 5630176"/>
                <a:gd name="csY2" fmla="*/ 2329237 h 2329237"/>
                <a:gd name="csX3" fmla="*/ 0 w 5630176"/>
                <a:gd name="csY3" fmla="*/ 2329237 h 2329237"/>
                <a:gd name="csX4" fmla="*/ 61452 w 5630176"/>
                <a:gd name="csY4" fmla="*/ 15363 h 2329237"/>
                <a:gd name="csX0" fmla="*/ 0 w 5649012"/>
                <a:gd name="csY0" fmla="*/ 0 h 2358644"/>
                <a:gd name="csX1" fmla="*/ 5649012 w 5649012"/>
                <a:gd name="csY1" fmla="*/ 29407 h 2358644"/>
                <a:gd name="csX2" fmla="*/ 5649012 w 5649012"/>
                <a:gd name="csY2" fmla="*/ 2358644 h 2358644"/>
                <a:gd name="csX3" fmla="*/ 18836 w 5649012"/>
                <a:gd name="csY3" fmla="*/ 2358644 h 2358644"/>
                <a:gd name="csX4" fmla="*/ 0 w 5649012"/>
                <a:gd name="csY4" fmla="*/ 0 h 2358644"/>
                <a:gd name="csX0" fmla="*/ 0 w 5643278"/>
                <a:gd name="csY0" fmla="*/ 0 h 2358644"/>
                <a:gd name="csX1" fmla="*/ 5643278 w 5643278"/>
                <a:gd name="csY1" fmla="*/ 29407 h 2358644"/>
                <a:gd name="csX2" fmla="*/ 5643278 w 5643278"/>
                <a:gd name="csY2" fmla="*/ 2358644 h 2358644"/>
                <a:gd name="csX3" fmla="*/ 13102 w 5643278"/>
                <a:gd name="csY3" fmla="*/ 2358644 h 2358644"/>
                <a:gd name="csX4" fmla="*/ 0 w 5643278"/>
                <a:gd name="csY4" fmla="*/ 0 h 2358644"/>
                <a:gd name="csX0" fmla="*/ 0 w 5631808"/>
                <a:gd name="csY0" fmla="*/ 0 h 2358644"/>
                <a:gd name="csX1" fmla="*/ 5631808 w 5631808"/>
                <a:gd name="csY1" fmla="*/ 29407 h 2358644"/>
                <a:gd name="csX2" fmla="*/ 5631808 w 5631808"/>
                <a:gd name="csY2" fmla="*/ 2358644 h 2358644"/>
                <a:gd name="csX3" fmla="*/ 1632 w 5631808"/>
                <a:gd name="csY3" fmla="*/ 2358644 h 2358644"/>
                <a:gd name="csX4" fmla="*/ 0 w 5631808"/>
                <a:gd name="csY4" fmla="*/ 0 h 2358644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</a:cxnLst>
              <a:rect l="l" t="t" r="r" b="b"/>
              <a:pathLst>
                <a:path w="5631808" h="2358644">
                  <a:moveTo>
                    <a:pt x="0" y="0"/>
                  </a:moveTo>
                  <a:lnTo>
                    <a:pt x="5631808" y="29407"/>
                  </a:lnTo>
                  <a:lnTo>
                    <a:pt x="5631808" y="2358644"/>
                  </a:lnTo>
                  <a:lnTo>
                    <a:pt x="1632" y="2358644"/>
                  </a:lnTo>
                  <a:cubicBezTo>
                    <a:pt x="-2735" y="1572429"/>
                    <a:pt x="4367" y="786215"/>
                    <a:pt x="0" y="0"/>
                  </a:cubicBezTo>
                  <a:close/>
                </a:path>
              </a:pathLst>
            </a:cu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4600"/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6308E706-0AE6-DD1F-FE62-482538F8B074}"/>
                </a:ext>
              </a:extLst>
            </xdr:cNvPr>
            <xdr:cNvSpPr/>
          </xdr:nvSpPr>
          <xdr:spPr>
            <a:xfrm>
              <a:off x="2349689" y="2258784"/>
              <a:ext cx="6165358" cy="38638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/>
                <a:t>TOTAL</a:t>
              </a:r>
              <a:r>
                <a:rPr lang="pt-BR" sz="1600" baseline="0"/>
                <a:t> SUBSCRIPTIONS MINECRAF SEASON PASS</a:t>
              </a:r>
              <a:endParaRPr lang="pt-BR" sz="1600"/>
            </a:p>
          </xdr:txBody>
        </xdr:sp>
        <xdr:sp macro="" textlink="C̳álculos!D30">
          <xdr:nvSpPr>
            <xdr:cNvPr id="21" name="Retângulo 20">
              <a:extLst>
                <a:ext uri="{FF2B5EF4-FFF2-40B4-BE49-F238E27FC236}">
                  <a16:creationId xmlns:a16="http://schemas.microsoft.com/office/drawing/2014/main" id="{BE69DEDF-D6C0-6866-6B2D-972111265E14}"/>
                </a:ext>
              </a:extLst>
            </xdr:cNvPr>
            <xdr:cNvSpPr/>
          </xdr:nvSpPr>
          <xdr:spPr>
            <a:xfrm>
              <a:off x="5089071" y="2884716"/>
              <a:ext cx="3034393" cy="83003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59CBEEBC-D5A7-47EB-8EB3-AFBA01831192}" type="TxLink">
                <a:rPr lang="en-US" sz="4800" b="0" i="0" u="none" strike="noStrike">
                  <a:solidFill>
                    <a:srgbClr val="22C55E"/>
                  </a:solidFill>
                  <a:latin typeface="Aptos Narrow"/>
                </a:rPr>
                <a:pPr algn="l"/>
                <a:t> R$ 940,00 </a:t>
              </a:fld>
              <a:endParaRPr lang="pt-BR" sz="4800">
                <a:solidFill>
                  <a:srgbClr val="22C55E"/>
                </a:solidFill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6D7772A1-3D5F-494B-B712-473509C74FD3}"/>
              </a:ext>
            </a:extLst>
          </xdr:cNvPr>
          <xdr:cNvGrpSpPr/>
        </xdr:nvGrpSpPr>
        <xdr:grpSpPr>
          <a:xfrm>
            <a:off x="10042524" y="2432162"/>
            <a:ext cx="1552407" cy="74366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737618DA-8FF9-D8CB-B475-44D80210E1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4DEAA47A-A065-A43F-3C31-1FF9855281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1759314</xdr:colOff>
      <xdr:row>17</xdr:row>
      <xdr:rowOff>184282</xdr:rowOff>
    </xdr:from>
    <xdr:to>
      <xdr:col>23</xdr:col>
      <xdr:colOff>382217</xdr:colOff>
      <xdr:row>37</xdr:row>
      <xdr:rowOff>73412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16FCA1F0-09D3-3C72-654E-C5F54FB57FB2}"/>
            </a:ext>
          </a:extLst>
        </xdr:cNvPr>
        <xdr:cNvGrpSpPr/>
      </xdr:nvGrpSpPr>
      <xdr:grpSpPr>
        <a:xfrm>
          <a:off x="1759314" y="4359259"/>
          <a:ext cx="13213067" cy="3627915"/>
          <a:chOff x="1759314" y="4494322"/>
          <a:chExt cx="13212784" cy="381897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B7AC4BF-74C7-F7E8-9032-A3421CEE1C0B}"/>
              </a:ext>
            </a:extLst>
          </xdr:cNvPr>
          <xdr:cNvGrpSpPr/>
        </xdr:nvGrpSpPr>
        <xdr:grpSpPr>
          <a:xfrm>
            <a:off x="1759314" y="4685862"/>
            <a:ext cx="13212784" cy="3627430"/>
            <a:chOff x="2046911" y="1740271"/>
            <a:chExt cx="5108572" cy="317500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EDC989C8-C448-B2B0-BC88-74AE0ED38368}"/>
                </a:ext>
              </a:extLst>
            </xdr:cNvPr>
            <xdr:cNvSpPr/>
          </xdr:nvSpPr>
          <xdr:spPr>
            <a:xfrm>
              <a:off x="2151683" y="1740271"/>
              <a:ext cx="5003800" cy="3175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496C842-5A50-4D20-B963-39DE2630928C}"/>
                </a:ext>
              </a:extLst>
            </xdr:cNvPr>
            <xdr:cNvGraphicFramePr>
              <a:graphicFrameLocks/>
            </xdr:cNvGraphicFramePr>
          </xdr:nvGraphicFramePr>
          <xdr:xfrm>
            <a:off x="2046911" y="1986043"/>
            <a:ext cx="4431560" cy="274634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ED5BDFEF-A855-44AF-AD8D-157A19D3B84D}"/>
              </a:ext>
            </a:extLst>
          </xdr:cNvPr>
          <xdr:cNvSpPr/>
        </xdr:nvSpPr>
        <xdr:spPr>
          <a:xfrm>
            <a:off x="2305690" y="4494322"/>
            <a:ext cx="6165066" cy="402576"/>
          </a:xfrm>
          <a:prstGeom prst="round2SameRect">
            <a:avLst>
              <a:gd name="adj1" fmla="val 32035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 XBOX  GAME PASS</a:t>
            </a:r>
            <a:endParaRPr lang="pt-BR" sz="1600"/>
          </a:p>
        </xdr:txBody>
      </xdr:sp>
    </xdr:grpSp>
    <xdr:clientData/>
  </xdr:twoCellAnchor>
  <xdr:twoCellAnchor>
    <xdr:from>
      <xdr:col>0</xdr:col>
      <xdr:colOff>460602</xdr:colOff>
      <xdr:row>2</xdr:row>
      <xdr:rowOff>188550</xdr:rowOff>
    </xdr:from>
    <xdr:to>
      <xdr:col>0</xdr:col>
      <xdr:colOff>1153162</xdr:colOff>
      <xdr:row>2</xdr:row>
      <xdr:rowOff>888177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CC1643A0-DC41-4222-9555-BBED9672CB1F}"/>
            </a:ext>
          </a:extLst>
        </xdr:cNvPr>
        <xdr:cNvSpPr/>
      </xdr:nvSpPr>
      <xdr:spPr>
        <a:xfrm>
          <a:off x="460602" y="573398"/>
          <a:ext cx="692560" cy="69962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207998</xdr:colOff>
      <xdr:row>2</xdr:row>
      <xdr:rowOff>1059312</xdr:rowOff>
    </xdr:from>
    <xdr:to>
      <xdr:col>0</xdr:col>
      <xdr:colOff>1749757</xdr:colOff>
      <xdr:row>3</xdr:row>
      <xdr:rowOff>133148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AA37FBE9-5AE6-836B-B873-A6DBA29368BA}"/>
            </a:ext>
          </a:extLst>
        </xdr:cNvPr>
        <xdr:cNvSpPr txBox="1"/>
      </xdr:nvSpPr>
      <xdr:spPr>
        <a:xfrm>
          <a:off x="207998" y="1444160"/>
          <a:ext cx="1541759" cy="218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</a:rPr>
            <a:t>BEM-VINDA</a:t>
          </a:r>
          <a:r>
            <a:rPr lang="pt-BR" sz="1100" baseline="0">
              <a:solidFill>
                <a:schemeClr val="bg1"/>
              </a:solidFill>
            </a:rPr>
            <a:t> LIANDA!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372341</xdr:colOff>
      <xdr:row>2</xdr:row>
      <xdr:rowOff>717544</xdr:rowOff>
    </xdr:from>
    <xdr:to>
      <xdr:col>20</xdr:col>
      <xdr:colOff>93688</xdr:colOff>
      <xdr:row>2</xdr:row>
      <xdr:rowOff>718279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D2F28F1E-6B50-EA3F-5EF7-E7F11553605F}"/>
            </a:ext>
          </a:extLst>
        </xdr:cNvPr>
        <xdr:cNvCxnSpPr/>
      </xdr:nvCxnSpPr>
      <xdr:spPr>
        <a:xfrm>
          <a:off x="3026849" y="1092298"/>
          <a:ext cx="9902167" cy="735"/>
        </a:xfrm>
        <a:prstGeom prst="line">
          <a:avLst/>
        </a:prstGeom>
        <a:ln w="57150">
          <a:solidFill>
            <a:srgbClr val="22C55E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" refreshedDate="46030.805411226851" createdVersion="8" refreshedVersion="8" minRefreshableVersion="3" recordCount="295" xr:uid="{3459F322-8D1F-4DA1-9C94-0EE881B3DAF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156494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C886A-8E27-432D-9988-FDF1B2A46828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26:B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366B3-0398-4FEC-B217-91D2F01A06B2}" name="tbl_easessi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5:B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6B18C-AC2C-466B-8448-19FE206D0316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5:B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D6FE37B-D0B4-47BC-BCDB-F37D3F64D18E}" sourceName="Subscription Type">
  <pivotTables>
    <pivotTable tabId="3" name="tbl_annual_total"/>
    <pivotTable tabId="3" name="tbl_easessionpass_total"/>
    <pivotTable tabId="3" name="Tabela dinâmica4"/>
  </pivotTables>
  <data>
    <tabular pivotCacheId="91564946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97C4DF3-B252-48CA-921C-CC136C44C48E}" cache="SegmentaçãodeDados_Subscription_Type" caption="Subscription Type" style="Estilo de Segmentação de Dados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EDF077-0C86-455F-B0B0-EB537BC4C107}" name="Tabela2" displayName="Tabela2" ref="A3:M150" totalsRowShown="0">
  <autoFilter ref="A3:M150" xr:uid="{49EDF077-0C86-455F-B0B0-EB537BC4C107}"/>
  <tableColumns count="13">
    <tableColumn id="1" xr3:uid="{E5157B1A-9104-4B1A-A082-98AAF7704748}" name="Subscriber ID"/>
    <tableColumn id="2" xr3:uid="{04A2B744-3DDE-4187-855A-81E081143BD4}" name="Name"/>
    <tableColumn id="3" xr3:uid="{7034B27C-B578-47D3-9D82-1A73808006B4}" name="Plan"/>
    <tableColumn id="4" xr3:uid="{930FCDC6-FEDF-4A7D-A991-7CA99637E2F8}" name="Start Date" dataDxfId="3"/>
    <tableColumn id="5" xr3:uid="{2968A369-DFE9-4CD4-94A3-54BDC298E59A}" name="Auto Renewal"/>
    <tableColumn id="6" xr3:uid="{CEF0D7A0-F2D7-415D-81B0-12D0BAC5D08C}" name="Subscription Price"/>
    <tableColumn id="7" xr3:uid="{CDA5B86D-E2D3-42A7-A10E-9D7EBADA6C4C}" name="Subscription Type"/>
    <tableColumn id="8" xr3:uid="{92FCE45A-681C-41DD-9047-B2F98653D587}" name="EA Play Season Pass"/>
    <tableColumn id="9" xr3:uid="{1FDF95C3-B34B-4DF4-9371-AA7255F4006F}" name="EA Play Season Pass_x000a_Price"/>
    <tableColumn id="10" xr3:uid="{52C08825-BC5F-4056-A25E-729622D1EBFB}" name="Minecraft Season Pass"/>
    <tableColumn id="11" xr3:uid="{CECF4C01-5127-4D3F-B3F3-E8FC247A336C}" name="Minecraft Season Pass Price"/>
    <tableColumn id="12" xr3:uid="{F53EAC09-FF95-4BBE-9AB6-F8E7834F85F0}" name="Coupon Value"/>
    <tableColumn id="13" xr3:uid="{F02F261D-955E-48C9-B358-D74869277ABB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E35BF0-D4ED-49CD-87C8-0C6FBFA355F7}" name="Tabela3" displayName="Tabela3" ref="A3:M28" totalsRowShown="0">
  <autoFilter ref="A3:M28" xr:uid="{B9E35BF0-D4ED-49CD-87C8-0C6FBFA355F7}"/>
  <tableColumns count="13">
    <tableColumn id="1" xr3:uid="{4697E4C1-F79F-455A-AF6F-CCD3C676988D}" name="Subscriber ID"/>
    <tableColumn id="2" xr3:uid="{F8D435D9-AF88-490F-A0B0-D1848F81EE14}" name="Name"/>
    <tableColumn id="3" xr3:uid="{B2709E20-5848-4680-B244-6E2B58E9C289}" name="Plan"/>
    <tableColumn id="4" xr3:uid="{0D61A365-DE4E-468A-9760-1FBE8328DB71}" name="Start Date" dataDxfId="2"/>
    <tableColumn id="5" xr3:uid="{10F4E450-EBFE-4A61-921A-5B619E3D6377}" name="Auto Renewal"/>
    <tableColumn id="6" xr3:uid="{21063462-4A19-48FC-9B6B-D771EB2130B2}" name="Subscription Price"/>
    <tableColumn id="7" xr3:uid="{82726C5B-FF58-4102-8237-492D6AFCCD33}" name="Subscription Type"/>
    <tableColumn id="8" xr3:uid="{FAADBF3B-E399-4B7B-93DC-3D6A1A7D0254}" name="EA Play Season Pass"/>
    <tableColumn id="9" xr3:uid="{F660CB24-F96F-4337-BBA4-1B5CFEB8FE38}" name="EA Play Season Pass_x000a_Price"/>
    <tableColumn id="10" xr3:uid="{64B01C67-4C94-49D7-A571-9D5CE487CC2A}" name="Minecraft Season Pass"/>
    <tableColumn id="11" xr3:uid="{62CD6B09-6EF0-4756-949F-B8F858DDB0AD}" name="Minecraft Season Pass Price"/>
    <tableColumn id="12" xr3:uid="{0C485FEE-39F9-4D16-825C-4389129F3C35}" name="Coupon Value"/>
    <tableColumn id="13" xr3:uid="{1E0B3C39-A808-4584-A0B7-CFC8E8CC6B76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F4" zoomScale="124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104" zoomScaleNormal="90" workbookViewId="0">
      <selection activeCell="K1" sqref="K1:K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6B8D-5812-4486-8E5F-B244A86226B8}">
  <sheetPr>
    <tabColor theme="3" tint="0.749992370372631"/>
  </sheetPr>
  <dimension ref="A1:M150"/>
  <sheetViews>
    <sheetView topLeftCell="G1" zoomScale="88" workbookViewId="0">
      <selection activeCell="L3" sqref="L3"/>
    </sheetView>
  </sheetViews>
  <sheetFormatPr defaultRowHeight="15" x14ac:dyDescent="0.25"/>
  <cols>
    <col min="1" max="1" width="15.5703125" bestFit="1" customWidth="1"/>
    <col min="2" max="2" width="18.14062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6" t="s">
        <v>317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3525</v>
      </c>
      <c r="B4" t="s">
        <v>308</v>
      </c>
      <c r="C4" t="s">
        <v>22</v>
      </c>
      <c r="D4" s="15">
        <v>45642</v>
      </c>
      <c r="E4" t="s">
        <v>23</v>
      </c>
      <c r="F4">
        <v>5</v>
      </c>
      <c r="G4" t="s">
        <v>20</v>
      </c>
      <c r="H4" t="s">
        <v>23</v>
      </c>
      <c r="I4" t="s">
        <v>311</v>
      </c>
      <c r="J4" t="s">
        <v>23</v>
      </c>
      <c r="K4">
        <v>0</v>
      </c>
      <c r="L4">
        <v>1</v>
      </c>
      <c r="M4">
        <v>4</v>
      </c>
    </row>
    <row r="5" spans="1:13" x14ac:dyDescent="0.25">
      <c r="A5">
        <v>3232</v>
      </c>
      <c r="B5" t="s">
        <v>21</v>
      </c>
      <c r="C5" t="s">
        <v>22</v>
      </c>
      <c r="D5" s="15">
        <v>45306</v>
      </c>
      <c r="E5" t="s">
        <v>23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25">
      <c r="A6">
        <v>3523</v>
      </c>
      <c r="B6" t="s">
        <v>306</v>
      </c>
      <c r="C6" t="s">
        <v>18</v>
      </c>
      <c r="D6" s="15">
        <v>45640</v>
      </c>
      <c r="E6" t="s">
        <v>23</v>
      </c>
      <c r="F6">
        <v>15</v>
      </c>
      <c r="G6" t="s">
        <v>20</v>
      </c>
      <c r="H6" t="s">
        <v>19</v>
      </c>
      <c r="I6">
        <v>30</v>
      </c>
      <c r="J6" t="s">
        <v>19</v>
      </c>
      <c r="K6">
        <v>20</v>
      </c>
      <c r="L6">
        <v>3</v>
      </c>
      <c r="M6">
        <v>62</v>
      </c>
    </row>
    <row r="7" spans="1:13" x14ac:dyDescent="0.25">
      <c r="A7">
        <v>3234</v>
      </c>
      <c r="B7" t="s">
        <v>28</v>
      </c>
      <c r="C7" t="s">
        <v>18</v>
      </c>
      <c r="D7" s="15">
        <v>45342</v>
      </c>
      <c r="E7" t="s">
        <v>23</v>
      </c>
      <c r="F7">
        <v>15</v>
      </c>
      <c r="G7" t="s">
        <v>20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25">
      <c r="A8">
        <v>3521</v>
      </c>
      <c r="B8" t="s">
        <v>304</v>
      </c>
      <c r="C8" t="s">
        <v>26</v>
      </c>
      <c r="D8" s="15">
        <v>45638</v>
      </c>
      <c r="E8" t="s">
        <v>23</v>
      </c>
      <c r="F8">
        <v>10</v>
      </c>
      <c r="G8" t="s">
        <v>20</v>
      </c>
      <c r="H8" t="s">
        <v>23</v>
      </c>
      <c r="I8" t="s">
        <v>311</v>
      </c>
      <c r="J8" t="s">
        <v>19</v>
      </c>
      <c r="K8">
        <v>20</v>
      </c>
      <c r="L8">
        <v>10</v>
      </c>
      <c r="M8">
        <v>20</v>
      </c>
    </row>
    <row r="9" spans="1:13" x14ac:dyDescent="0.25">
      <c r="A9">
        <v>3236</v>
      </c>
      <c r="B9" t="s">
        <v>34</v>
      </c>
      <c r="C9" t="s">
        <v>26</v>
      </c>
      <c r="D9" s="15">
        <v>45353</v>
      </c>
      <c r="E9" t="s">
        <v>23</v>
      </c>
      <c r="F9">
        <v>10</v>
      </c>
      <c r="G9" t="s">
        <v>20</v>
      </c>
      <c r="H9" t="s">
        <v>23</v>
      </c>
      <c r="I9" t="s">
        <v>311</v>
      </c>
      <c r="J9" t="s">
        <v>19</v>
      </c>
      <c r="K9">
        <v>20</v>
      </c>
      <c r="L9">
        <v>2</v>
      </c>
      <c r="M9">
        <v>28</v>
      </c>
    </row>
    <row r="10" spans="1:13" x14ac:dyDescent="0.25">
      <c r="A10">
        <v>3519</v>
      </c>
      <c r="B10" t="s">
        <v>302</v>
      </c>
      <c r="C10" t="s">
        <v>22</v>
      </c>
      <c r="D10" s="15">
        <v>45636</v>
      </c>
      <c r="E10" t="s">
        <v>23</v>
      </c>
      <c r="F10">
        <v>5</v>
      </c>
      <c r="G10" t="s">
        <v>20</v>
      </c>
      <c r="H10" t="s">
        <v>23</v>
      </c>
      <c r="I10" t="s">
        <v>311</v>
      </c>
      <c r="J10" t="s">
        <v>23</v>
      </c>
      <c r="K10">
        <v>0</v>
      </c>
      <c r="L10">
        <v>2</v>
      </c>
      <c r="M10">
        <v>3</v>
      </c>
    </row>
    <row r="11" spans="1:13" x14ac:dyDescent="0.25">
      <c r="A11">
        <v>3517</v>
      </c>
      <c r="B11" t="s">
        <v>210</v>
      </c>
      <c r="C11" t="s">
        <v>18</v>
      </c>
      <c r="D11" s="15">
        <v>45634</v>
      </c>
      <c r="E11" t="s">
        <v>23</v>
      </c>
      <c r="F11">
        <v>15</v>
      </c>
      <c r="G11" t="s">
        <v>20</v>
      </c>
      <c r="H11" t="s">
        <v>19</v>
      </c>
      <c r="I11">
        <v>30</v>
      </c>
      <c r="J11" t="s">
        <v>19</v>
      </c>
      <c r="K11">
        <v>20</v>
      </c>
      <c r="L11">
        <v>20</v>
      </c>
      <c r="M11">
        <v>45</v>
      </c>
    </row>
    <row r="12" spans="1:13" x14ac:dyDescent="0.25">
      <c r="A12">
        <v>3239</v>
      </c>
      <c r="B12" t="s">
        <v>37</v>
      </c>
      <c r="C12" t="s">
        <v>18</v>
      </c>
      <c r="D12" s="15">
        <v>45356</v>
      </c>
      <c r="E12" t="s">
        <v>23</v>
      </c>
      <c r="F12">
        <v>15</v>
      </c>
      <c r="G12" t="s">
        <v>20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25">
      <c r="A13">
        <v>3515</v>
      </c>
      <c r="B13" t="s">
        <v>159</v>
      </c>
      <c r="C13" t="s">
        <v>26</v>
      </c>
      <c r="D13" s="15">
        <v>45632</v>
      </c>
      <c r="E13" t="s">
        <v>23</v>
      </c>
      <c r="F13">
        <v>10</v>
      </c>
      <c r="G13" t="s">
        <v>20</v>
      </c>
      <c r="H13" t="s">
        <v>23</v>
      </c>
      <c r="I13" t="s">
        <v>311</v>
      </c>
      <c r="J13" t="s">
        <v>19</v>
      </c>
      <c r="K13">
        <v>20</v>
      </c>
      <c r="L13">
        <v>10</v>
      </c>
      <c r="M13">
        <v>20</v>
      </c>
    </row>
    <row r="14" spans="1:13" x14ac:dyDescent="0.25">
      <c r="A14">
        <v>3241</v>
      </c>
      <c r="B14" t="s">
        <v>39</v>
      </c>
      <c r="C14" t="s">
        <v>22</v>
      </c>
      <c r="D14" s="15">
        <v>45358</v>
      </c>
      <c r="E14" t="s">
        <v>23</v>
      </c>
      <c r="F14">
        <v>5</v>
      </c>
      <c r="G14" t="s">
        <v>20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25">
      <c r="A15">
        <v>3513</v>
      </c>
      <c r="B15" t="s">
        <v>299</v>
      </c>
      <c r="C15" t="s">
        <v>22</v>
      </c>
      <c r="D15" s="15">
        <v>45630</v>
      </c>
      <c r="E15" t="s">
        <v>23</v>
      </c>
      <c r="F15">
        <v>5</v>
      </c>
      <c r="G15" t="s">
        <v>20</v>
      </c>
      <c r="H15" t="s">
        <v>23</v>
      </c>
      <c r="I15" t="s">
        <v>311</v>
      </c>
      <c r="J15" t="s">
        <v>23</v>
      </c>
      <c r="K15">
        <v>0</v>
      </c>
      <c r="L15">
        <v>1</v>
      </c>
      <c r="M15">
        <v>4</v>
      </c>
    </row>
    <row r="16" spans="1:13" x14ac:dyDescent="0.25">
      <c r="A16">
        <v>3243</v>
      </c>
      <c r="B16" t="s">
        <v>41</v>
      </c>
      <c r="C16" t="s">
        <v>26</v>
      </c>
      <c r="D16" s="15">
        <v>45360</v>
      </c>
      <c r="E16" t="s">
        <v>23</v>
      </c>
      <c r="F16">
        <v>10</v>
      </c>
      <c r="G16" t="s">
        <v>20</v>
      </c>
      <c r="H16" t="s">
        <v>23</v>
      </c>
      <c r="I16" t="s">
        <v>311</v>
      </c>
      <c r="J16" t="s">
        <v>19</v>
      </c>
      <c r="K16">
        <v>20</v>
      </c>
      <c r="L16">
        <v>10</v>
      </c>
      <c r="M16">
        <v>20</v>
      </c>
    </row>
    <row r="17" spans="1:13" x14ac:dyDescent="0.25">
      <c r="A17">
        <v>3511</v>
      </c>
      <c r="B17" t="s">
        <v>297</v>
      </c>
      <c r="C17" t="s">
        <v>18</v>
      </c>
      <c r="D17" s="15">
        <v>45628</v>
      </c>
      <c r="E17" t="s">
        <v>23</v>
      </c>
      <c r="F17">
        <v>15</v>
      </c>
      <c r="G17" t="s">
        <v>20</v>
      </c>
      <c r="H17" t="s">
        <v>19</v>
      </c>
      <c r="I17">
        <v>30</v>
      </c>
      <c r="J17" t="s">
        <v>19</v>
      </c>
      <c r="K17">
        <v>20</v>
      </c>
      <c r="L17">
        <v>15</v>
      </c>
      <c r="M17">
        <v>50</v>
      </c>
    </row>
    <row r="18" spans="1:13" x14ac:dyDescent="0.25">
      <c r="A18">
        <v>3245</v>
      </c>
      <c r="B18" t="s">
        <v>43</v>
      </c>
      <c r="C18" t="s">
        <v>18</v>
      </c>
      <c r="D18" s="15">
        <v>45362</v>
      </c>
      <c r="E18" t="s">
        <v>23</v>
      </c>
      <c r="F18">
        <v>15</v>
      </c>
      <c r="G18" t="s">
        <v>20</v>
      </c>
      <c r="H18" t="s">
        <v>19</v>
      </c>
      <c r="I18">
        <v>30</v>
      </c>
      <c r="J18" t="s">
        <v>19</v>
      </c>
      <c r="K18">
        <v>20</v>
      </c>
      <c r="L18">
        <v>8</v>
      </c>
      <c r="M18">
        <v>57</v>
      </c>
    </row>
    <row r="19" spans="1:13" x14ac:dyDescent="0.25">
      <c r="A19">
        <v>3509</v>
      </c>
      <c r="B19" t="s">
        <v>295</v>
      </c>
      <c r="C19" t="s">
        <v>26</v>
      </c>
      <c r="D19" s="15">
        <v>45626</v>
      </c>
      <c r="E19" t="s">
        <v>23</v>
      </c>
      <c r="F19">
        <v>10</v>
      </c>
      <c r="G19" t="s">
        <v>20</v>
      </c>
      <c r="H19" t="s">
        <v>23</v>
      </c>
      <c r="I19" t="s">
        <v>311</v>
      </c>
      <c r="J19" t="s">
        <v>19</v>
      </c>
      <c r="K19">
        <v>20</v>
      </c>
      <c r="L19">
        <v>10</v>
      </c>
      <c r="M19">
        <v>20</v>
      </c>
    </row>
    <row r="20" spans="1:13" x14ac:dyDescent="0.25">
      <c r="A20">
        <v>3247</v>
      </c>
      <c r="B20" t="s">
        <v>45</v>
      </c>
      <c r="C20" t="s">
        <v>22</v>
      </c>
      <c r="D20" s="15">
        <v>45364</v>
      </c>
      <c r="E20" t="s">
        <v>23</v>
      </c>
      <c r="F20">
        <v>5</v>
      </c>
      <c r="G20" t="s">
        <v>20</v>
      </c>
      <c r="H20" t="s">
        <v>23</v>
      </c>
      <c r="I20" t="s">
        <v>311</v>
      </c>
      <c r="J20" t="s">
        <v>23</v>
      </c>
      <c r="K20">
        <v>0</v>
      </c>
      <c r="L20">
        <v>2</v>
      </c>
      <c r="M20">
        <v>3</v>
      </c>
    </row>
    <row r="21" spans="1:13" x14ac:dyDescent="0.25">
      <c r="A21">
        <v>3507</v>
      </c>
      <c r="B21" t="s">
        <v>293</v>
      </c>
      <c r="C21" t="s">
        <v>22</v>
      </c>
      <c r="D21" s="15">
        <v>45624</v>
      </c>
      <c r="E21" t="s">
        <v>23</v>
      </c>
      <c r="F21">
        <v>5</v>
      </c>
      <c r="G21" t="s">
        <v>20</v>
      </c>
      <c r="H21" t="s">
        <v>23</v>
      </c>
      <c r="I21" t="s">
        <v>311</v>
      </c>
      <c r="J21" t="s">
        <v>23</v>
      </c>
      <c r="K21">
        <v>0</v>
      </c>
      <c r="L21">
        <v>1</v>
      </c>
      <c r="M21">
        <v>4</v>
      </c>
    </row>
    <row r="22" spans="1:13" x14ac:dyDescent="0.25">
      <c r="A22">
        <v>3249</v>
      </c>
      <c r="B22" t="s">
        <v>47</v>
      </c>
      <c r="C22" t="s">
        <v>26</v>
      </c>
      <c r="D22" s="15">
        <v>45366</v>
      </c>
      <c r="E22" t="s">
        <v>23</v>
      </c>
      <c r="F22">
        <v>10</v>
      </c>
      <c r="G22" t="s">
        <v>20</v>
      </c>
      <c r="H22" t="s">
        <v>23</v>
      </c>
      <c r="I22" t="s">
        <v>311</v>
      </c>
      <c r="J22" t="s">
        <v>19</v>
      </c>
      <c r="K22">
        <v>20</v>
      </c>
      <c r="L22">
        <v>5</v>
      </c>
      <c r="M22">
        <v>25</v>
      </c>
    </row>
    <row r="23" spans="1:13" x14ac:dyDescent="0.25">
      <c r="A23">
        <v>3505</v>
      </c>
      <c r="B23" t="s">
        <v>291</v>
      </c>
      <c r="C23" t="s">
        <v>18</v>
      </c>
      <c r="D23" s="15">
        <v>45622</v>
      </c>
      <c r="E23" t="s">
        <v>23</v>
      </c>
      <c r="F23">
        <v>15</v>
      </c>
      <c r="G23" t="s">
        <v>20</v>
      </c>
      <c r="H23" t="s">
        <v>19</v>
      </c>
      <c r="I23">
        <v>30</v>
      </c>
      <c r="J23" t="s">
        <v>19</v>
      </c>
      <c r="K23">
        <v>20</v>
      </c>
      <c r="L23">
        <v>20</v>
      </c>
      <c r="M23">
        <v>45</v>
      </c>
    </row>
    <row r="24" spans="1:13" x14ac:dyDescent="0.25">
      <c r="A24">
        <v>3251</v>
      </c>
      <c r="B24" t="s">
        <v>49</v>
      </c>
      <c r="C24" t="s">
        <v>18</v>
      </c>
      <c r="D24" s="15">
        <v>45368</v>
      </c>
      <c r="E24" t="s">
        <v>23</v>
      </c>
      <c r="F24">
        <v>15</v>
      </c>
      <c r="G24" t="s">
        <v>20</v>
      </c>
      <c r="H24" t="s">
        <v>19</v>
      </c>
      <c r="I24">
        <v>30</v>
      </c>
      <c r="J24" t="s">
        <v>19</v>
      </c>
      <c r="K24">
        <v>20</v>
      </c>
      <c r="L24">
        <v>3</v>
      </c>
      <c r="M24">
        <v>62</v>
      </c>
    </row>
    <row r="25" spans="1:13" x14ac:dyDescent="0.25">
      <c r="A25">
        <v>3503</v>
      </c>
      <c r="B25" t="s">
        <v>148</v>
      </c>
      <c r="C25" t="s">
        <v>26</v>
      </c>
      <c r="D25" s="15">
        <v>45620</v>
      </c>
      <c r="E25" t="s">
        <v>23</v>
      </c>
      <c r="F25">
        <v>10</v>
      </c>
      <c r="G25" t="s">
        <v>20</v>
      </c>
      <c r="H25" t="s">
        <v>23</v>
      </c>
      <c r="I25" t="s">
        <v>311</v>
      </c>
      <c r="J25" t="s">
        <v>19</v>
      </c>
      <c r="K25">
        <v>20</v>
      </c>
      <c r="L25">
        <v>10</v>
      </c>
      <c r="M25">
        <v>20</v>
      </c>
    </row>
    <row r="26" spans="1:13" x14ac:dyDescent="0.25">
      <c r="A26">
        <v>3253</v>
      </c>
      <c r="B26" t="s">
        <v>51</v>
      </c>
      <c r="C26" t="s">
        <v>22</v>
      </c>
      <c r="D26" s="15">
        <v>45370</v>
      </c>
      <c r="E26" t="s">
        <v>23</v>
      </c>
      <c r="F26">
        <v>5</v>
      </c>
      <c r="G26" t="s">
        <v>20</v>
      </c>
      <c r="H26" t="s">
        <v>23</v>
      </c>
      <c r="I26" t="s">
        <v>311</v>
      </c>
      <c r="J26" t="s">
        <v>23</v>
      </c>
      <c r="K26">
        <v>0</v>
      </c>
      <c r="L26">
        <v>1</v>
      </c>
      <c r="M26">
        <v>4</v>
      </c>
    </row>
    <row r="27" spans="1:13" x14ac:dyDescent="0.25">
      <c r="A27">
        <v>3501</v>
      </c>
      <c r="B27" t="s">
        <v>288</v>
      </c>
      <c r="C27" t="s">
        <v>22</v>
      </c>
      <c r="D27" s="15">
        <v>45618</v>
      </c>
      <c r="E27" t="s">
        <v>23</v>
      </c>
      <c r="F27">
        <v>5</v>
      </c>
      <c r="G27" t="s">
        <v>20</v>
      </c>
      <c r="H27" t="s">
        <v>23</v>
      </c>
      <c r="I27" t="s">
        <v>311</v>
      </c>
      <c r="J27" t="s">
        <v>23</v>
      </c>
      <c r="K27">
        <v>0</v>
      </c>
      <c r="L27">
        <v>1</v>
      </c>
      <c r="M27">
        <v>4</v>
      </c>
    </row>
    <row r="28" spans="1:13" x14ac:dyDescent="0.25">
      <c r="A28">
        <v>3255</v>
      </c>
      <c r="B28" t="s">
        <v>53</v>
      </c>
      <c r="C28" t="s">
        <v>26</v>
      </c>
      <c r="D28" s="15">
        <v>45372</v>
      </c>
      <c r="E28" t="s">
        <v>23</v>
      </c>
      <c r="F28">
        <v>10</v>
      </c>
      <c r="G28" t="s">
        <v>20</v>
      </c>
      <c r="H28" t="s">
        <v>23</v>
      </c>
      <c r="I28" t="s">
        <v>311</v>
      </c>
      <c r="J28" t="s">
        <v>19</v>
      </c>
      <c r="K28">
        <v>20</v>
      </c>
      <c r="L28">
        <v>10</v>
      </c>
      <c r="M28">
        <v>20</v>
      </c>
    </row>
    <row r="29" spans="1:13" x14ac:dyDescent="0.25">
      <c r="A29">
        <v>3499</v>
      </c>
      <c r="B29" t="s">
        <v>286</v>
      </c>
      <c r="C29" t="s">
        <v>18</v>
      </c>
      <c r="D29" s="15">
        <v>45616</v>
      </c>
      <c r="E29" t="s">
        <v>23</v>
      </c>
      <c r="F29">
        <v>15</v>
      </c>
      <c r="G29" t="s">
        <v>20</v>
      </c>
      <c r="H29" t="s">
        <v>19</v>
      </c>
      <c r="I29">
        <v>30</v>
      </c>
      <c r="J29" t="s">
        <v>19</v>
      </c>
      <c r="K29">
        <v>20</v>
      </c>
      <c r="L29">
        <v>3</v>
      </c>
      <c r="M29">
        <v>62</v>
      </c>
    </row>
    <row r="30" spans="1:13" x14ac:dyDescent="0.25">
      <c r="A30">
        <v>3257</v>
      </c>
      <c r="B30" t="s">
        <v>55</v>
      </c>
      <c r="C30" t="s">
        <v>18</v>
      </c>
      <c r="D30" s="15">
        <v>45374</v>
      </c>
      <c r="E30" t="s">
        <v>23</v>
      </c>
      <c r="F30">
        <v>15</v>
      </c>
      <c r="G30" t="s">
        <v>20</v>
      </c>
      <c r="H30" t="s">
        <v>19</v>
      </c>
      <c r="I30">
        <v>30</v>
      </c>
      <c r="J30" t="s">
        <v>19</v>
      </c>
      <c r="K30">
        <v>20</v>
      </c>
      <c r="L30">
        <v>5</v>
      </c>
      <c r="M30">
        <v>60</v>
      </c>
    </row>
    <row r="31" spans="1:13" x14ac:dyDescent="0.25">
      <c r="A31">
        <v>3497</v>
      </c>
      <c r="B31" t="s">
        <v>284</v>
      </c>
      <c r="C31" t="s">
        <v>26</v>
      </c>
      <c r="D31" s="15">
        <v>45614</v>
      </c>
      <c r="E31" t="s">
        <v>23</v>
      </c>
      <c r="F31">
        <v>10</v>
      </c>
      <c r="G31" t="s">
        <v>20</v>
      </c>
      <c r="H31" t="s">
        <v>23</v>
      </c>
      <c r="I31" t="s">
        <v>311</v>
      </c>
      <c r="J31" t="s">
        <v>19</v>
      </c>
      <c r="K31">
        <v>20</v>
      </c>
      <c r="L31">
        <v>10</v>
      </c>
      <c r="M31">
        <v>20</v>
      </c>
    </row>
    <row r="32" spans="1:13" x14ac:dyDescent="0.25">
      <c r="A32">
        <v>3259</v>
      </c>
      <c r="B32" t="s">
        <v>57</v>
      </c>
      <c r="C32" t="s">
        <v>22</v>
      </c>
      <c r="D32" s="15">
        <v>45376</v>
      </c>
      <c r="E32" t="s">
        <v>23</v>
      </c>
      <c r="F32">
        <v>5</v>
      </c>
      <c r="G32" t="s">
        <v>20</v>
      </c>
      <c r="H32" t="s">
        <v>23</v>
      </c>
      <c r="I32" t="s">
        <v>311</v>
      </c>
      <c r="J32" t="s">
        <v>23</v>
      </c>
      <c r="K32">
        <v>0</v>
      </c>
      <c r="L32">
        <v>1</v>
      </c>
      <c r="M32">
        <v>4</v>
      </c>
    </row>
    <row r="33" spans="1:13" x14ac:dyDescent="0.25">
      <c r="A33">
        <v>3495</v>
      </c>
      <c r="B33" t="s">
        <v>282</v>
      </c>
      <c r="C33" t="s">
        <v>22</v>
      </c>
      <c r="D33" s="15">
        <v>45612</v>
      </c>
      <c r="E33" t="s">
        <v>23</v>
      </c>
      <c r="F33">
        <v>5</v>
      </c>
      <c r="G33" t="s">
        <v>20</v>
      </c>
      <c r="H33" t="s">
        <v>23</v>
      </c>
      <c r="I33" t="s">
        <v>311</v>
      </c>
      <c r="J33" t="s">
        <v>23</v>
      </c>
      <c r="K33">
        <v>0</v>
      </c>
      <c r="L33">
        <v>2</v>
      </c>
      <c r="M33">
        <v>3</v>
      </c>
    </row>
    <row r="34" spans="1:13" x14ac:dyDescent="0.25">
      <c r="A34">
        <v>3261</v>
      </c>
      <c r="B34" t="s">
        <v>59</v>
      </c>
      <c r="C34" t="s">
        <v>26</v>
      </c>
      <c r="D34" s="15">
        <v>45378</v>
      </c>
      <c r="E34" t="s">
        <v>23</v>
      </c>
      <c r="F34">
        <v>10</v>
      </c>
      <c r="G34" t="s">
        <v>20</v>
      </c>
      <c r="H34" t="s">
        <v>23</v>
      </c>
      <c r="I34" t="s">
        <v>311</v>
      </c>
      <c r="J34" t="s">
        <v>19</v>
      </c>
      <c r="K34">
        <v>20</v>
      </c>
      <c r="L34">
        <v>10</v>
      </c>
      <c r="M34">
        <v>20</v>
      </c>
    </row>
    <row r="35" spans="1:13" x14ac:dyDescent="0.25">
      <c r="A35">
        <v>3493</v>
      </c>
      <c r="B35" t="s">
        <v>280</v>
      </c>
      <c r="C35" t="s">
        <v>18</v>
      </c>
      <c r="D35" s="15">
        <v>45610</v>
      </c>
      <c r="E35" t="s">
        <v>23</v>
      </c>
      <c r="F35">
        <v>15</v>
      </c>
      <c r="G35" t="s">
        <v>27</v>
      </c>
      <c r="H35" t="s">
        <v>19</v>
      </c>
      <c r="I35">
        <v>30</v>
      </c>
      <c r="J35" t="s">
        <v>19</v>
      </c>
      <c r="K35">
        <v>20</v>
      </c>
      <c r="L35">
        <v>20</v>
      </c>
      <c r="M35">
        <v>45</v>
      </c>
    </row>
    <row r="36" spans="1:13" x14ac:dyDescent="0.25">
      <c r="A36">
        <v>3263</v>
      </c>
      <c r="B36" t="s">
        <v>61</v>
      </c>
      <c r="C36" t="s">
        <v>18</v>
      </c>
      <c r="D36" s="15">
        <v>45380</v>
      </c>
      <c r="E36" t="s">
        <v>23</v>
      </c>
      <c r="F36">
        <v>15</v>
      </c>
      <c r="G36" t="s">
        <v>20</v>
      </c>
      <c r="H36" t="s">
        <v>19</v>
      </c>
      <c r="I36">
        <v>30</v>
      </c>
      <c r="J36" t="s">
        <v>19</v>
      </c>
      <c r="K36">
        <v>20</v>
      </c>
      <c r="L36">
        <v>3</v>
      </c>
      <c r="M36">
        <v>62</v>
      </c>
    </row>
    <row r="37" spans="1:13" x14ac:dyDescent="0.25">
      <c r="A37">
        <v>3491</v>
      </c>
      <c r="B37" t="s">
        <v>278</v>
      </c>
      <c r="C37" t="s">
        <v>26</v>
      </c>
      <c r="D37" s="15">
        <v>45608</v>
      </c>
      <c r="E37" t="s">
        <v>23</v>
      </c>
      <c r="F37">
        <v>10</v>
      </c>
      <c r="G37" t="s">
        <v>20</v>
      </c>
      <c r="H37" t="s">
        <v>23</v>
      </c>
      <c r="I37" t="s">
        <v>311</v>
      </c>
      <c r="J37" t="s">
        <v>19</v>
      </c>
      <c r="K37">
        <v>20</v>
      </c>
      <c r="L37">
        <v>5</v>
      </c>
      <c r="M37">
        <v>25</v>
      </c>
    </row>
    <row r="38" spans="1:13" x14ac:dyDescent="0.25">
      <c r="A38">
        <v>3265</v>
      </c>
      <c r="B38" t="s">
        <v>63</v>
      </c>
      <c r="C38" t="s">
        <v>22</v>
      </c>
      <c r="D38" s="15">
        <v>45382</v>
      </c>
      <c r="E38" t="s">
        <v>23</v>
      </c>
      <c r="F38">
        <v>5</v>
      </c>
      <c r="G38" t="s">
        <v>20</v>
      </c>
      <c r="H38" t="s">
        <v>23</v>
      </c>
      <c r="I38" t="s">
        <v>311</v>
      </c>
      <c r="J38" t="s">
        <v>23</v>
      </c>
      <c r="K38">
        <v>0</v>
      </c>
      <c r="L38">
        <v>1</v>
      </c>
      <c r="M38">
        <v>4</v>
      </c>
    </row>
    <row r="39" spans="1:13" x14ac:dyDescent="0.25">
      <c r="A39">
        <v>3489</v>
      </c>
      <c r="B39" t="s">
        <v>276</v>
      </c>
      <c r="C39" t="s">
        <v>22</v>
      </c>
      <c r="D39" s="15">
        <v>45606</v>
      </c>
      <c r="E39" t="s">
        <v>23</v>
      </c>
      <c r="F39">
        <v>5</v>
      </c>
      <c r="G39" t="s">
        <v>27</v>
      </c>
      <c r="H39" t="s">
        <v>23</v>
      </c>
      <c r="I39" t="s">
        <v>311</v>
      </c>
      <c r="J39" t="s">
        <v>23</v>
      </c>
      <c r="K39">
        <v>0</v>
      </c>
      <c r="L39">
        <v>1</v>
      </c>
      <c r="M39">
        <v>4</v>
      </c>
    </row>
    <row r="40" spans="1:13" x14ac:dyDescent="0.25">
      <c r="A40">
        <v>3267</v>
      </c>
      <c r="B40" t="s">
        <v>65</v>
      </c>
      <c r="C40" t="s">
        <v>18</v>
      </c>
      <c r="D40" s="15">
        <v>45384</v>
      </c>
      <c r="E40" t="s">
        <v>23</v>
      </c>
      <c r="F40">
        <v>15</v>
      </c>
      <c r="G40" t="s">
        <v>27</v>
      </c>
      <c r="H40" t="s">
        <v>19</v>
      </c>
      <c r="I40">
        <v>30</v>
      </c>
      <c r="J40" t="s">
        <v>19</v>
      </c>
      <c r="K40">
        <v>20</v>
      </c>
      <c r="L40">
        <v>7</v>
      </c>
      <c r="M40">
        <v>58</v>
      </c>
    </row>
    <row r="41" spans="1:13" x14ac:dyDescent="0.25">
      <c r="A41">
        <v>3487</v>
      </c>
      <c r="B41" t="s">
        <v>274</v>
      </c>
      <c r="C41" t="s">
        <v>18</v>
      </c>
      <c r="D41" s="15">
        <v>45604</v>
      </c>
      <c r="E41" t="s">
        <v>23</v>
      </c>
      <c r="F41">
        <v>15</v>
      </c>
      <c r="G41" t="s">
        <v>27</v>
      </c>
      <c r="H41" t="s">
        <v>19</v>
      </c>
      <c r="I41">
        <v>30</v>
      </c>
      <c r="J41" t="s">
        <v>19</v>
      </c>
      <c r="K41">
        <v>20</v>
      </c>
      <c r="L41">
        <v>7</v>
      </c>
      <c r="M41">
        <v>58</v>
      </c>
    </row>
    <row r="42" spans="1:13" x14ac:dyDescent="0.25">
      <c r="A42">
        <v>3269</v>
      </c>
      <c r="B42" t="s">
        <v>67</v>
      </c>
      <c r="C42" t="s">
        <v>22</v>
      </c>
      <c r="D42" s="15">
        <v>45386</v>
      </c>
      <c r="E42" t="s">
        <v>23</v>
      </c>
      <c r="F42">
        <v>5</v>
      </c>
      <c r="G42" t="s">
        <v>27</v>
      </c>
      <c r="H42" t="s">
        <v>23</v>
      </c>
      <c r="I42" t="s">
        <v>311</v>
      </c>
      <c r="J42" t="s">
        <v>23</v>
      </c>
      <c r="K42">
        <v>0</v>
      </c>
      <c r="L42">
        <v>1</v>
      </c>
      <c r="M42">
        <v>4</v>
      </c>
    </row>
    <row r="43" spans="1:13" x14ac:dyDescent="0.25">
      <c r="A43">
        <v>3485</v>
      </c>
      <c r="B43" t="s">
        <v>272</v>
      </c>
      <c r="C43" t="s">
        <v>18</v>
      </c>
      <c r="D43" s="15">
        <v>45602</v>
      </c>
      <c r="E43" t="s">
        <v>23</v>
      </c>
      <c r="F43">
        <v>15</v>
      </c>
      <c r="G43" t="s">
        <v>20</v>
      </c>
      <c r="H43" t="s">
        <v>19</v>
      </c>
      <c r="I43">
        <v>30</v>
      </c>
      <c r="J43" t="s">
        <v>19</v>
      </c>
      <c r="K43">
        <v>20</v>
      </c>
      <c r="L43">
        <v>15</v>
      </c>
      <c r="M43">
        <v>50</v>
      </c>
    </row>
    <row r="44" spans="1:13" x14ac:dyDescent="0.25">
      <c r="A44">
        <v>3271</v>
      </c>
      <c r="B44" t="s">
        <v>69</v>
      </c>
      <c r="C44" t="s">
        <v>26</v>
      </c>
      <c r="D44" s="15">
        <v>45388</v>
      </c>
      <c r="E44" t="s">
        <v>23</v>
      </c>
      <c r="F44">
        <v>10</v>
      </c>
      <c r="G44" t="s">
        <v>20</v>
      </c>
      <c r="H44" t="s">
        <v>23</v>
      </c>
      <c r="I44" t="s">
        <v>311</v>
      </c>
      <c r="J44" t="s">
        <v>19</v>
      </c>
      <c r="K44">
        <v>20</v>
      </c>
      <c r="L44">
        <v>5</v>
      </c>
      <c r="M44">
        <v>25</v>
      </c>
    </row>
    <row r="45" spans="1:13" x14ac:dyDescent="0.25">
      <c r="A45">
        <v>3483</v>
      </c>
      <c r="B45" t="s">
        <v>270</v>
      </c>
      <c r="C45" t="s">
        <v>26</v>
      </c>
      <c r="D45" s="15">
        <v>45600</v>
      </c>
      <c r="E45" t="s">
        <v>23</v>
      </c>
      <c r="F45">
        <v>10</v>
      </c>
      <c r="G45" t="s">
        <v>20</v>
      </c>
      <c r="H45" t="s">
        <v>23</v>
      </c>
      <c r="I45" t="s">
        <v>311</v>
      </c>
      <c r="J45" t="s">
        <v>19</v>
      </c>
      <c r="K45">
        <v>20</v>
      </c>
      <c r="L45">
        <v>10</v>
      </c>
      <c r="M45">
        <v>20</v>
      </c>
    </row>
    <row r="46" spans="1:13" x14ac:dyDescent="0.25">
      <c r="A46">
        <v>3273</v>
      </c>
      <c r="B46" t="s">
        <v>71</v>
      </c>
      <c r="C46" t="s">
        <v>18</v>
      </c>
      <c r="D46" s="15">
        <v>45390</v>
      </c>
      <c r="E46" t="s">
        <v>23</v>
      </c>
      <c r="F46">
        <v>15</v>
      </c>
      <c r="G46" t="s">
        <v>27</v>
      </c>
      <c r="H46" t="s">
        <v>19</v>
      </c>
      <c r="I46">
        <v>30</v>
      </c>
      <c r="J46" t="s">
        <v>19</v>
      </c>
      <c r="K46">
        <v>20</v>
      </c>
      <c r="L46">
        <v>20</v>
      </c>
      <c r="M46">
        <v>45</v>
      </c>
    </row>
    <row r="47" spans="1:13" x14ac:dyDescent="0.25">
      <c r="A47">
        <v>3481</v>
      </c>
      <c r="B47" t="s">
        <v>268</v>
      </c>
      <c r="C47" t="s">
        <v>22</v>
      </c>
      <c r="D47" s="15">
        <v>45598</v>
      </c>
      <c r="E47" t="s">
        <v>23</v>
      </c>
      <c r="F47">
        <v>5</v>
      </c>
      <c r="G47" t="s">
        <v>20</v>
      </c>
      <c r="H47" t="s">
        <v>23</v>
      </c>
      <c r="I47" t="s">
        <v>311</v>
      </c>
      <c r="J47" t="s">
        <v>23</v>
      </c>
      <c r="K47">
        <v>0</v>
      </c>
      <c r="L47">
        <v>1</v>
      </c>
      <c r="M47">
        <v>4</v>
      </c>
    </row>
    <row r="48" spans="1:13" x14ac:dyDescent="0.25">
      <c r="A48">
        <v>3275</v>
      </c>
      <c r="B48" t="s">
        <v>73</v>
      </c>
      <c r="C48" t="s">
        <v>22</v>
      </c>
      <c r="D48" s="15">
        <v>45392</v>
      </c>
      <c r="E48" t="s">
        <v>23</v>
      </c>
      <c r="F48">
        <v>5</v>
      </c>
      <c r="G48" t="s">
        <v>20</v>
      </c>
      <c r="H48" t="s">
        <v>23</v>
      </c>
      <c r="I48" t="s">
        <v>311</v>
      </c>
      <c r="J48" t="s">
        <v>23</v>
      </c>
      <c r="K48">
        <v>0</v>
      </c>
      <c r="L48">
        <v>2</v>
      </c>
      <c r="M48">
        <v>3</v>
      </c>
    </row>
    <row r="49" spans="1:13" x14ac:dyDescent="0.25">
      <c r="A49">
        <v>3479</v>
      </c>
      <c r="B49" t="s">
        <v>266</v>
      </c>
      <c r="C49" t="s">
        <v>18</v>
      </c>
      <c r="D49" s="15">
        <v>45596</v>
      </c>
      <c r="E49" t="s">
        <v>23</v>
      </c>
      <c r="F49">
        <v>15</v>
      </c>
      <c r="G49" t="s">
        <v>20</v>
      </c>
      <c r="H49" t="s">
        <v>19</v>
      </c>
      <c r="I49">
        <v>30</v>
      </c>
      <c r="J49" t="s">
        <v>19</v>
      </c>
      <c r="K49">
        <v>20</v>
      </c>
      <c r="L49">
        <v>20</v>
      </c>
      <c r="M49">
        <v>45</v>
      </c>
    </row>
    <row r="50" spans="1:13" x14ac:dyDescent="0.25">
      <c r="A50">
        <v>3277</v>
      </c>
      <c r="B50" t="s">
        <v>75</v>
      </c>
      <c r="C50" t="s">
        <v>26</v>
      </c>
      <c r="D50" s="15">
        <v>45394</v>
      </c>
      <c r="E50" t="s">
        <v>23</v>
      </c>
      <c r="F50">
        <v>10</v>
      </c>
      <c r="G50" t="s">
        <v>20</v>
      </c>
      <c r="H50" t="s">
        <v>23</v>
      </c>
      <c r="I50" t="s">
        <v>311</v>
      </c>
      <c r="J50" t="s">
        <v>19</v>
      </c>
      <c r="K50">
        <v>20</v>
      </c>
      <c r="L50">
        <v>10</v>
      </c>
      <c r="M50">
        <v>20</v>
      </c>
    </row>
    <row r="51" spans="1:13" x14ac:dyDescent="0.25">
      <c r="A51">
        <v>3477</v>
      </c>
      <c r="B51" t="s">
        <v>264</v>
      </c>
      <c r="C51" t="s">
        <v>26</v>
      </c>
      <c r="D51" s="15">
        <v>45594</v>
      </c>
      <c r="E51" t="s">
        <v>23</v>
      </c>
      <c r="F51">
        <v>10</v>
      </c>
      <c r="G51" t="s">
        <v>20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25">
      <c r="A52">
        <v>3279</v>
      </c>
      <c r="B52" t="s">
        <v>77</v>
      </c>
      <c r="C52" t="s">
        <v>18</v>
      </c>
      <c r="D52" s="15">
        <v>45396</v>
      </c>
      <c r="E52" t="s">
        <v>23</v>
      </c>
      <c r="F52">
        <v>15</v>
      </c>
      <c r="G52" t="s">
        <v>20</v>
      </c>
      <c r="H52" t="s">
        <v>19</v>
      </c>
      <c r="I52">
        <v>30</v>
      </c>
      <c r="J52" t="s">
        <v>19</v>
      </c>
      <c r="K52">
        <v>20</v>
      </c>
      <c r="L52">
        <v>3</v>
      </c>
      <c r="M52">
        <v>62</v>
      </c>
    </row>
    <row r="53" spans="1:13" x14ac:dyDescent="0.25">
      <c r="A53">
        <v>3475</v>
      </c>
      <c r="B53" t="s">
        <v>262</v>
      </c>
      <c r="C53" t="s">
        <v>22</v>
      </c>
      <c r="D53" s="15">
        <v>45592</v>
      </c>
      <c r="E53" t="s">
        <v>23</v>
      </c>
      <c r="F53">
        <v>5</v>
      </c>
      <c r="G53" t="s">
        <v>20</v>
      </c>
      <c r="H53" t="s">
        <v>23</v>
      </c>
      <c r="I53" t="s">
        <v>311</v>
      </c>
      <c r="J53" t="s">
        <v>23</v>
      </c>
      <c r="K53">
        <v>0</v>
      </c>
      <c r="L53">
        <v>1</v>
      </c>
      <c r="M53">
        <v>4</v>
      </c>
    </row>
    <row r="54" spans="1:13" x14ac:dyDescent="0.25">
      <c r="A54">
        <v>3281</v>
      </c>
      <c r="B54" t="s">
        <v>79</v>
      </c>
      <c r="C54" t="s">
        <v>22</v>
      </c>
      <c r="D54" s="15">
        <v>45398</v>
      </c>
      <c r="E54" t="s">
        <v>23</v>
      </c>
      <c r="F54">
        <v>5</v>
      </c>
      <c r="G54" t="s">
        <v>20</v>
      </c>
      <c r="H54" t="s">
        <v>23</v>
      </c>
      <c r="I54" t="s">
        <v>311</v>
      </c>
      <c r="J54" t="s">
        <v>23</v>
      </c>
      <c r="K54">
        <v>0</v>
      </c>
      <c r="L54">
        <v>1</v>
      </c>
      <c r="M54">
        <v>4</v>
      </c>
    </row>
    <row r="55" spans="1:13" x14ac:dyDescent="0.25">
      <c r="A55">
        <v>3473</v>
      </c>
      <c r="B55" t="s">
        <v>169</v>
      </c>
      <c r="C55" t="s">
        <v>18</v>
      </c>
      <c r="D55" s="15">
        <v>45590</v>
      </c>
      <c r="E55" t="s">
        <v>23</v>
      </c>
      <c r="F55">
        <v>15</v>
      </c>
      <c r="G55" t="s">
        <v>20</v>
      </c>
      <c r="H55" t="s">
        <v>19</v>
      </c>
      <c r="I55">
        <v>30</v>
      </c>
      <c r="J55" t="s">
        <v>19</v>
      </c>
      <c r="K55">
        <v>20</v>
      </c>
      <c r="L55">
        <v>3</v>
      </c>
      <c r="M55">
        <v>62</v>
      </c>
    </row>
    <row r="56" spans="1:13" x14ac:dyDescent="0.25">
      <c r="A56">
        <v>3283</v>
      </c>
      <c r="B56" t="s">
        <v>81</v>
      </c>
      <c r="C56" t="s">
        <v>26</v>
      </c>
      <c r="D56" s="15">
        <v>45400</v>
      </c>
      <c r="E56" t="s">
        <v>23</v>
      </c>
      <c r="F56">
        <v>10</v>
      </c>
      <c r="G56" t="s">
        <v>20</v>
      </c>
      <c r="H56" t="s">
        <v>23</v>
      </c>
      <c r="I56" t="s">
        <v>311</v>
      </c>
      <c r="J56" t="s">
        <v>19</v>
      </c>
      <c r="K56">
        <v>20</v>
      </c>
      <c r="L56">
        <v>10</v>
      </c>
      <c r="M56">
        <v>20</v>
      </c>
    </row>
    <row r="57" spans="1:13" x14ac:dyDescent="0.25">
      <c r="A57">
        <v>3471</v>
      </c>
      <c r="B57" t="s">
        <v>259</v>
      </c>
      <c r="C57" t="s">
        <v>26</v>
      </c>
      <c r="D57" s="15">
        <v>45588</v>
      </c>
      <c r="E57" t="s">
        <v>23</v>
      </c>
      <c r="F57">
        <v>10</v>
      </c>
      <c r="G57" t="s">
        <v>20</v>
      </c>
      <c r="H57" t="s">
        <v>23</v>
      </c>
      <c r="I57" t="s">
        <v>311</v>
      </c>
      <c r="J57" t="s">
        <v>19</v>
      </c>
      <c r="K57">
        <v>20</v>
      </c>
      <c r="L57">
        <v>10</v>
      </c>
      <c r="M57">
        <v>20</v>
      </c>
    </row>
    <row r="58" spans="1:13" x14ac:dyDescent="0.25">
      <c r="A58">
        <v>3285</v>
      </c>
      <c r="B58" t="s">
        <v>83</v>
      </c>
      <c r="C58" t="s">
        <v>18</v>
      </c>
      <c r="D58" s="15">
        <v>45402</v>
      </c>
      <c r="E58" t="s">
        <v>23</v>
      </c>
      <c r="F58">
        <v>15</v>
      </c>
      <c r="G58" t="s">
        <v>20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25">
      <c r="A59">
        <v>3469</v>
      </c>
      <c r="B59" t="s">
        <v>257</v>
      </c>
      <c r="C59" t="s">
        <v>22</v>
      </c>
      <c r="D59" s="15">
        <v>45586</v>
      </c>
      <c r="E59" t="s">
        <v>23</v>
      </c>
      <c r="F59">
        <v>5</v>
      </c>
      <c r="G59" t="s">
        <v>20</v>
      </c>
      <c r="H59" t="s">
        <v>23</v>
      </c>
      <c r="I59" t="s">
        <v>311</v>
      </c>
      <c r="J59" t="s">
        <v>23</v>
      </c>
      <c r="K59">
        <v>0</v>
      </c>
      <c r="L59">
        <v>2</v>
      </c>
      <c r="M59">
        <v>3</v>
      </c>
    </row>
    <row r="60" spans="1:13" x14ac:dyDescent="0.25">
      <c r="A60">
        <v>3287</v>
      </c>
      <c r="B60" t="s">
        <v>85</v>
      </c>
      <c r="C60" t="s">
        <v>22</v>
      </c>
      <c r="D60" s="15">
        <v>45404</v>
      </c>
      <c r="E60" t="s">
        <v>23</v>
      </c>
      <c r="F60">
        <v>5</v>
      </c>
      <c r="G60" t="s">
        <v>20</v>
      </c>
      <c r="H60" t="s">
        <v>23</v>
      </c>
      <c r="I60" t="s">
        <v>311</v>
      </c>
      <c r="J60" t="s">
        <v>23</v>
      </c>
      <c r="K60">
        <v>0</v>
      </c>
      <c r="L60">
        <v>1</v>
      </c>
      <c r="M60">
        <v>4</v>
      </c>
    </row>
    <row r="61" spans="1:13" x14ac:dyDescent="0.25">
      <c r="A61">
        <v>3467</v>
      </c>
      <c r="B61" t="s">
        <v>255</v>
      </c>
      <c r="C61" t="s">
        <v>18</v>
      </c>
      <c r="D61" s="15">
        <v>45584</v>
      </c>
      <c r="E61" t="s">
        <v>23</v>
      </c>
      <c r="F61">
        <v>15</v>
      </c>
      <c r="G61" t="s">
        <v>20</v>
      </c>
      <c r="H61" t="s">
        <v>19</v>
      </c>
      <c r="I61">
        <v>30</v>
      </c>
      <c r="J61" t="s">
        <v>19</v>
      </c>
      <c r="K61">
        <v>20</v>
      </c>
      <c r="L61">
        <v>15</v>
      </c>
      <c r="M61">
        <v>50</v>
      </c>
    </row>
    <row r="62" spans="1:13" x14ac:dyDescent="0.25">
      <c r="A62">
        <v>3289</v>
      </c>
      <c r="B62" t="s">
        <v>87</v>
      </c>
      <c r="C62" t="s">
        <v>26</v>
      </c>
      <c r="D62" s="15">
        <v>45406</v>
      </c>
      <c r="E62" t="s">
        <v>23</v>
      </c>
      <c r="F62">
        <v>10</v>
      </c>
      <c r="G62" t="s">
        <v>20</v>
      </c>
      <c r="H62" t="s">
        <v>23</v>
      </c>
      <c r="I62" t="s">
        <v>311</v>
      </c>
      <c r="J62" t="s">
        <v>19</v>
      </c>
      <c r="K62">
        <v>20</v>
      </c>
      <c r="L62">
        <v>10</v>
      </c>
      <c r="M62">
        <v>20</v>
      </c>
    </row>
    <row r="63" spans="1:13" x14ac:dyDescent="0.25">
      <c r="A63">
        <v>3465</v>
      </c>
      <c r="B63" t="s">
        <v>253</v>
      </c>
      <c r="C63" t="s">
        <v>26</v>
      </c>
      <c r="D63" s="15">
        <v>45582</v>
      </c>
      <c r="E63" t="s">
        <v>23</v>
      </c>
      <c r="F63">
        <v>10</v>
      </c>
      <c r="G63" t="s">
        <v>20</v>
      </c>
      <c r="H63" t="s">
        <v>23</v>
      </c>
      <c r="I63" t="s">
        <v>311</v>
      </c>
      <c r="J63" t="s">
        <v>19</v>
      </c>
      <c r="K63">
        <v>20</v>
      </c>
      <c r="L63">
        <v>10</v>
      </c>
      <c r="M63">
        <v>20</v>
      </c>
    </row>
    <row r="64" spans="1:13" x14ac:dyDescent="0.25">
      <c r="A64">
        <v>3291</v>
      </c>
      <c r="B64" t="s">
        <v>89</v>
      </c>
      <c r="C64" t="s">
        <v>18</v>
      </c>
      <c r="D64" s="15">
        <v>45408</v>
      </c>
      <c r="E64" t="s">
        <v>23</v>
      </c>
      <c r="F64">
        <v>15</v>
      </c>
      <c r="G64" t="s">
        <v>20</v>
      </c>
      <c r="H64" t="s">
        <v>19</v>
      </c>
      <c r="I64">
        <v>30</v>
      </c>
      <c r="J64" t="s">
        <v>19</v>
      </c>
      <c r="K64">
        <v>20</v>
      </c>
      <c r="L64">
        <v>5</v>
      </c>
      <c r="M64">
        <v>60</v>
      </c>
    </row>
    <row r="65" spans="1:13" x14ac:dyDescent="0.25">
      <c r="A65">
        <v>3463</v>
      </c>
      <c r="B65" t="s">
        <v>251</v>
      </c>
      <c r="C65" t="s">
        <v>22</v>
      </c>
      <c r="D65" s="15">
        <v>45580</v>
      </c>
      <c r="E65" t="s">
        <v>23</v>
      </c>
      <c r="F65">
        <v>5</v>
      </c>
      <c r="G65" t="s">
        <v>20</v>
      </c>
      <c r="H65" t="s">
        <v>23</v>
      </c>
      <c r="I65" t="s">
        <v>311</v>
      </c>
      <c r="J65" t="s">
        <v>23</v>
      </c>
      <c r="K65">
        <v>0</v>
      </c>
      <c r="L65">
        <v>1</v>
      </c>
      <c r="M65">
        <v>4</v>
      </c>
    </row>
    <row r="66" spans="1:13" x14ac:dyDescent="0.25">
      <c r="A66">
        <v>3293</v>
      </c>
      <c r="B66" t="s">
        <v>91</v>
      </c>
      <c r="C66" t="s">
        <v>22</v>
      </c>
      <c r="D66" s="15">
        <v>45410</v>
      </c>
      <c r="E66" t="s">
        <v>23</v>
      </c>
      <c r="F66">
        <v>5</v>
      </c>
      <c r="G66" t="s">
        <v>20</v>
      </c>
      <c r="H66" t="s">
        <v>23</v>
      </c>
      <c r="I66" t="s">
        <v>311</v>
      </c>
      <c r="J66" t="s">
        <v>23</v>
      </c>
      <c r="K66">
        <v>0</v>
      </c>
      <c r="L66">
        <v>1</v>
      </c>
      <c r="M66">
        <v>4</v>
      </c>
    </row>
    <row r="67" spans="1:13" x14ac:dyDescent="0.25">
      <c r="A67">
        <v>3461</v>
      </c>
      <c r="B67" t="s">
        <v>249</v>
      </c>
      <c r="C67" t="s">
        <v>18</v>
      </c>
      <c r="D67" s="15">
        <v>45578</v>
      </c>
      <c r="E67" t="s">
        <v>23</v>
      </c>
      <c r="F67">
        <v>15</v>
      </c>
      <c r="G67" t="s">
        <v>20</v>
      </c>
      <c r="H67" t="s">
        <v>19</v>
      </c>
      <c r="I67">
        <v>30</v>
      </c>
      <c r="J67" t="s">
        <v>19</v>
      </c>
      <c r="K67">
        <v>20</v>
      </c>
      <c r="L67">
        <v>15</v>
      </c>
      <c r="M67">
        <v>50</v>
      </c>
    </row>
    <row r="68" spans="1:13" x14ac:dyDescent="0.25">
      <c r="A68">
        <v>3295</v>
      </c>
      <c r="B68" t="s">
        <v>93</v>
      </c>
      <c r="C68" t="s">
        <v>26</v>
      </c>
      <c r="D68" s="15">
        <v>45412</v>
      </c>
      <c r="E68" t="s">
        <v>23</v>
      </c>
      <c r="F68">
        <v>10</v>
      </c>
      <c r="G68" t="s">
        <v>20</v>
      </c>
      <c r="H68" t="s">
        <v>23</v>
      </c>
      <c r="I68" t="s">
        <v>311</v>
      </c>
      <c r="J68" t="s">
        <v>19</v>
      </c>
      <c r="K68">
        <v>20</v>
      </c>
      <c r="L68">
        <v>5</v>
      </c>
      <c r="M68">
        <v>25</v>
      </c>
    </row>
    <row r="69" spans="1:13" x14ac:dyDescent="0.25">
      <c r="A69">
        <v>3296</v>
      </c>
      <c r="B69" t="s">
        <v>94</v>
      </c>
      <c r="C69" t="s">
        <v>22</v>
      </c>
      <c r="D69" s="15">
        <v>45413</v>
      </c>
      <c r="E69" t="s">
        <v>23</v>
      </c>
      <c r="F69">
        <v>5</v>
      </c>
      <c r="G69" t="s">
        <v>20</v>
      </c>
      <c r="H69" t="s">
        <v>23</v>
      </c>
      <c r="I69" t="s">
        <v>311</v>
      </c>
      <c r="J69" t="s">
        <v>23</v>
      </c>
      <c r="K69">
        <v>0</v>
      </c>
      <c r="L69">
        <v>0</v>
      </c>
      <c r="M69">
        <v>5</v>
      </c>
    </row>
    <row r="70" spans="1:13" x14ac:dyDescent="0.25">
      <c r="A70">
        <v>3459</v>
      </c>
      <c r="B70" t="s">
        <v>248</v>
      </c>
      <c r="C70" t="s">
        <v>26</v>
      </c>
      <c r="D70" s="15">
        <v>45576</v>
      </c>
      <c r="E70" t="s">
        <v>23</v>
      </c>
      <c r="F70">
        <v>10</v>
      </c>
      <c r="G70" t="s">
        <v>20</v>
      </c>
      <c r="H70" t="s">
        <v>23</v>
      </c>
      <c r="I70" t="s">
        <v>311</v>
      </c>
      <c r="J70" t="s">
        <v>19</v>
      </c>
      <c r="K70">
        <v>20</v>
      </c>
      <c r="L70">
        <v>10</v>
      </c>
      <c r="M70">
        <v>20</v>
      </c>
    </row>
    <row r="71" spans="1:13" x14ac:dyDescent="0.25">
      <c r="A71">
        <v>3298</v>
      </c>
      <c r="B71" t="s">
        <v>96</v>
      </c>
      <c r="C71" t="s">
        <v>26</v>
      </c>
      <c r="D71" s="15">
        <v>45415</v>
      </c>
      <c r="E71" t="s">
        <v>23</v>
      </c>
      <c r="F71">
        <v>10</v>
      </c>
      <c r="G71" t="s">
        <v>24</v>
      </c>
      <c r="H71" t="s">
        <v>23</v>
      </c>
      <c r="I71" t="s">
        <v>311</v>
      </c>
      <c r="J71" t="s">
        <v>19</v>
      </c>
      <c r="K71">
        <v>20</v>
      </c>
      <c r="L71">
        <v>10</v>
      </c>
      <c r="M71">
        <v>20</v>
      </c>
    </row>
    <row r="72" spans="1:13" x14ac:dyDescent="0.25">
      <c r="A72">
        <v>3457</v>
      </c>
      <c r="B72" t="s">
        <v>246</v>
      </c>
      <c r="C72" t="s">
        <v>22</v>
      </c>
      <c r="D72" s="15">
        <v>45574</v>
      </c>
      <c r="E72" t="s">
        <v>23</v>
      </c>
      <c r="F72">
        <v>5</v>
      </c>
      <c r="G72" t="s">
        <v>20</v>
      </c>
      <c r="H72" t="s">
        <v>23</v>
      </c>
      <c r="I72" t="s">
        <v>311</v>
      </c>
      <c r="J72" t="s">
        <v>23</v>
      </c>
      <c r="K72">
        <v>0</v>
      </c>
      <c r="L72">
        <v>1</v>
      </c>
      <c r="M72">
        <v>4</v>
      </c>
    </row>
    <row r="73" spans="1:13" x14ac:dyDescent="0.25">
      <c r="A73">
        <v>3300</v>
      </c>
      <c r="B73" t="s">
        <v>98</v>
      </c>
      <c r="C73" t="s">
        <v>18</v>
      </c>
      <c r="D73" s="15">
        <v>45417</v>
      </c>
      <c r="E73" t="s">
        <v>23</v>
      </c>
      <c r="F73">
        <v>15</v>
      </c>
      <c r="G73" t="s">
        <v>20</v>
      </c>
      <c r="H73" t="s">
        <v>19</v>
      </c>
      <c r="I73">
        <v>30</v>
      </c>
      <c r="J73" t="s">
        <v>19</v>
      </c>
      <c r="K73">
        <v>20</v>
      </c>
      <c r="L73">
        <v>15</v>
      </c>
      <c r="M73">
        <v>50</v>
      </c>
    </row>
    <row r="74" spans="1:13" x14ac:dyDescent="0.25">
      <c r="A74">
        <v>3455</v>
      </c>
      <c r="B74" t="s">
        <v>244</v>
      </c>
      <c r="C74" t="s">
        <v>18</v>
      </c>
      <c r="D74" s="15">
        <v>45572</v>
      </c>
      <c r="E74" t="s">
        <v>23</v>
      </c>
      <c r="F74">
        <v>15</v>
      </c>
      <c r="G74" t="s">
        <v>20</v>
      </c>
      <c r="H74" t="s">
        <v>19</v>
      </c>
      <c r="I74">
        <v>30</v>
      </c>
      <c r="J74" t="s">
        <v>19</v>
      </c>
      <c r="K74">
        <v>20</v>
      </c>
      <c r="L74">
        <v>20</v>
      </c>
      <c r="M74">
        <v>45</v>
      </c>
    </row>
    <row r="75" spans="1:13" x14ac:dyDescent="0.25">
      <c r="A75">
        <v>3302</v>
      </c>
      <c r="B75" t="s">
        <v>100</v>
      </c>
      <c r="C75" t="s">
        <v>22</v>
      </c>
      <c r="D75" s="15">
        <v>45419</v>
      </c>
      <c r="E75" t="s">
        <v>23</v>
      </c>
      <c r="F75">
        <v>5</v>
      </c>
      <c r="G75" t="s">
        <v>24</v>
      </c>
      <c r="H75" t="s">
        <v>23</v>
      </c>
      <c r="I75" t="s">
        <v>311</v>
      </c>
      <c r="J75" t="s">
        <v>23</v>
      </c>
      <c r="K75">
        <v>0</v>
      </c>
      <c r="L75">
        <v>0</v>
      </c>
      <c r="M75">
        <v>5</v>
      </c>
    </row>
    <row r="76" spans="1:13" x14ac:dyDescent="0.25">
      <c r="A76">
        <v>3453</v>
      </c>
      <c r="B76" t="s">
        <v>74</v>
      </c>
      <c r="C76" t="s">
        <v>26</v>
      </c>
      <c r="D76" s="15">
        <v>45570</v>
      </c>
      <c r="E76" t="s">
        <v>23</v>
      </c>
      <c r="F76">
        <v>10</v>
      </c>
      <c r="G76" t="s">
        <v>20</v>
      </c>
      <c r="H76" t="s">
        <v>23</v>
      </c>
      <c r="I76" t="s">
        <v>311</v>
      </c>
      <c r="J76" t="s">
        <v>19</v>
      </c>
      <c r="K76">
        <v>20</v>
      </c>
      <c r="L76">
        <v>10</v>
      </c>
      <c r="M76">
        <v>20</v>
      </c>
    </row>
    <row r="77" spans="1:13" x14ac:dyDescent="0.25">
      <c r="A77">
        <v>3304</v>
      </c>
      <c r="B77" t="s">
        <v>102</v>
      </c>
      <c r="C77" t="s">
        <v>26</v>
      </c>
      <c r="D77" s="15">
        <v>45421</v>
      </c>
      <c r="E77" t="s">
        <v>23</v>
      </c>
      <c r="F77">
        <v>10</v>
      </c>
      <c r="G77" t="s">
        <v>27</v>
      </c>
      <c r="H77" t="s">
        <v>23</v>
      </c>
      <c r="I77" t="s">
        <v>311</v>
      </c>
      <c r="J77" t="s">
        <v>19</v>
      </c>
      <c r="K77">
        <v>20</v>
      </c>
      <c r="L77">
        <v>12</v>
      </c>
      <c r="M77">
        <v>18</v>
      </c>
    </row>
    <row r="78" spans="1:13" x14ac:dyDescent="0.25">
      <c r="A78">
        <v>3451</v>
      </c>
      <c r="B78" t="s">
        <v>242</v>
      </c>
      <c r="C78" t="s">
        <v>22</v>
      </c>
      <c r="D78" s="15">
        <v>45568</v>
      </c>
      <c r="E78" t="s">
        <v>23</v>
      </c>
      <c r="F78">
        <v>5</v>
      </c>
      <c r="G78" t="s">
        <v>20</v>
      </c>
      <c r="H78" t="s">
        <v>23</v>
      </c>
      <c r="I78" t="s">
        <v>311</v>
      </c>
      <c r="J78" t="s">
        <v>23</v>
      </c>
      <c r="K78">
        <v>0</v>
      </c>
      <c r="L78">
        <v>1</v>
      </c>
      <c r="M78">
        <v>4</v>
      </c>
    </row>
    <row r="79" spans="1:13" x14ac:dyDescent="0.25">
      <c r="A79">
        <v>3306</v>
      </c>
      <c r="B79" t="s">
        <v>104</v>
      </c>
      <c r="C79" t="s">
        <v>18</v>
      </c>
      <c r="D79" s="15">
        <v>45423</v>
      </c>
      <c r="E79" t="s">
        <v>23</v>
      </c>
      <c r="F79">
        <v>15</v>
      </c>
      <c r="G79" t="s">
        <v>24</v>
      </c>
      <c r="H79" t="s">
        <v>19</v>
      </c>
      <c r="I79">
        <v>30</v>
      </c>
      <c r="J79" t="s">
        <v>19</v>
      </c>
      <c r="K79">
        <v>20</v>
      </c>
      <c r="L79">
        <v>5</v>
      </c>
      <c r="M79">
        <v>60</v>
      </c>
    </row>
    <row r="80" spans="1:13" x14ac:dyDescent="0.25">
      <c r="A80">
        <v>3449</v>
      </c>
      <c r="B80" t="s">
        <v>240</v>
      </c>
      <c r="C80" t="s">
        <v>18</v>
      </c>
      <c r="D80" s="15">
        <v>45566</v>
      </c>
      <c r="E80" t="s">
        <v>23</v>
      </c>
      <c r="F80">
        <v>15</v>
      </c>
      <c r="G80" t="s">
        <v>20</v>
      </c>
      <c r="H80" t="s">
        <v>19</v>
      </c>
      <c r="I80">
        <v>30</v>
      </c>
      <c r="J80" t="s">
        <v>19</v>
      </c>
      <c r="K80">
        <v>20</v>
      </c>
      <c r="L80">
        <v>3</v>
      </c>
      <c r="M80">
        <v>62</v>
      </c>
    </row>
    <row r="81" spans="1:13" x14ac:dyDescent="0.25">
      <c r="A81">
        <v>3308</v>
      </c>
      <c r="B81" t="s">
        <v>106</v>
      </c>
      <c r="C81" t="s">
        <v>22</v>
      </c>
      <c r="D81" s="15">
        <v>45425</v>
      </c>
      <c r="E81" t="s">
        <v>23</v>
      </c>
      <c r="F81">
        <v>5</v>
      </c>
      <c r="G81" t="s">
        <v>27</v>
      </c>
      <c r="H81" t="s">
        <v>23</v>
      </c>
      <c r="I81" t="s">
        <v>311</v>
      </c>
      <c r="J81" t="s">
        <v>23</v>
      </c>
      <c r="K81">
        <v>0</v>
      </c>
      <c r="L81">
        <v>0</v>
      </c>
      <c r="M81">
        <v>5</v>
      </c>
    </row>
    <row r="82" spans="1:13" x14ac:dyDescent="0.25">
      <c r="A82">
        <v>3447</v>
      </c>
      <c r="B82" t="s">
        <v>238</v>
      </c>
      <c r="C82" t="s">
        <v>26</v>
      </c>
      <c r="D82" s="15">
        <v>45564</v>
      </c>
      <c r="E82" t="s">
        <v>23</v>
      </c>
      <c r="F82">
        <v>10</v>
      </c>
      <c r="G82" t="s">
        <v>20</v>
      </c>
      <c r="H82" t="s">
        <v>23</v>
      </c>
      <c r="I82" t="s">
        <v>311</v>
      </c>
      <c r="J82" t="s">
        <v>19</v>
      </c>
      <c r="K82">
        <v>20</v>
      </c>
      <c r="L82">
        <v>10</v>
      </c>
      <c r="M82">
        <v>20</v>
      </c>
    </row>
    <row r="83" spans="1:13" x14ac:dyDescent="0.25">
      <c r="A83">
        <v>3310</v>
      </c>
      <c r="B83" t="s">
        <v>108</v>
      </c>
      <c r="C83" t="s">
        <v>26</v>
      </c>
      <c r="D83" s="15">
        <v>45427</v>
      </c>
      <c r="E83" t="s">
        <v>23</v>
      </c>
      <c r="F83">
        <v>10</v>
      </c>
      <c r="G83" t="s">
        <v>24</v>
      </c>
      <c r="H83" t="s">
        <v>23</v>
      </c>
      <c r="I83" t="s">
        <v>311</v>
      </c>
      <c r="J83" t="s">
        <v>19</v>
      </c>
      <c r="K83">
        <v>20</v>
      </c>
      <c r="L83">
        <v>15</v>
      </c>
      <c r="M83">
        <v>15</v>
      </c>
    </row>
    <row r="84" spans="1:13" x14ac:dyDescent="0.25">
      <c r="A84">
        <v>3445</v>
      </c>
      <c r="B84" t="s">
        <v>66</v>
      </c>
      <c r="C84" t="s">
        <v>22</v>
      </c>
      <c r="D84" s="15">
        <v>45562</v>
      </c>
      <c r="E84" t="s">
        <v>23</v>
      </c>
      <c r="F84">
        <v>5</v>
      </c>
      <c r="G84" t="s">
        <v>20</v>
      </c>
      <c r="H84" t="s">
        <v>23</v>
      </c>
      <c r="I84" t="s">
        <v>311</v>
      </c>
      <c r="J84" t="s">
        <v>23</v>
      </c>
      <c r="K84">
        <v>0</v>
      </c>
      <c r="L84">
        <v>2</v>
      </c>
      <c r="M84">
        <v>3</v>
      </c>
    </row>
    <row r="85" spans="1:13" x14ac:dyDescent="0.25">
      <c r="A85">
        <v>3312</v>
      </c>
      <c r="B85" t="s">
        <v>110</v>
      </c>
      <c r="C85" t="s">
        <v>18</v>
      </c>
      <c r="D85" s="15">
        <v>45429</v>
      </c>
      <c r="E85" t="s">
        <v>23</v>
      </c>
      <c r="F85">
        <v>15</v>
      </c>
      <c r="G85" t="s">
        <v>27</v>
      </c>
      <c r="H85" t="s">
        <v>19</v>
      </c>
      <c r="I85">
        <v>30</v>
      </c>
      <c r="J85" t="s">
        <v>19</v>
      </c>
      <c r="K85">
        <v>20</v>
      </c>
      <c r="L85">
        <v>7</v>
      </c>
      <c r="M85">
        <v>58</v>
      </c>
    </row>
    <row r="86" spans="1:13" x14ac:dyDescent="0.25">
      <c r="A86">
        <v>3443</v>
      </c>
      <c r="B86" t="s">
        <v>235</v>
      </c>
      <c r="C86" t="s">
        <v>18</v>
      </c>
      <c r="D86" s="15">
        <v>45560</v>
      </c>
      <c r="E86" t="s">
        <v>23</v>
      </c>
      <c r="F86">
        <v>15</v>
      </c>
      <c r="G86" t="s">
        <v>27</v>
      </c>
      <c r="H86" t="s">
        <v>19</v>
      </c>
      <c r="I86">
        <v>30</v>
      </c>
      <c r="J86" t="s">
        <v>19</v>
      </c>
      <c r="K86">
        <v>20</v>
      </c>
      <c r="L86">
        <v>20</v>
      </c>
      <c r="M86">
        <v>45</v>
      </c>
    </row>
    <row r="87" spans="1:13" x14ac:dyDescent="0.25">
      <c r="A87">
        <v>3314</v>
      </c>
      <c r="B87" t="s">
        <v>112</v>
      </c>
      <c r="C87" t="s">
        <v>22</v>
      </c>
      <c r="D87" s="15">
        <v>45431</v>
      </c>
      <c r="E87" t="s">
        <v>23</v>
      </c>
      <c r="F87">
        <v>5</v>
      </c>
      <c r="G87" t="s">
        <v>24</v>
      </c>
      <c r="H87" t="s">
        <v>23</v>
      </c>
      <c r="I87" t="s">
        <v>311</v>
      </c>
      <c r="J87" t="s">
        <v>23</v>
      </c>
      <c r="K87">
        <v>0</v>
      </c>
      <c r="L87">
        <v>0</v>
      </c>
      <c r="M87">
        <v>5</v>
      </c>
    </row>
    <row r="88" spans="1:13" x14ac:dyDescent="0.25">
      <c r="A88">
        <v>3441</v>
      </c>
      <c r="B88" t="s">
        <v>233</v>
      </c>
      <c r="C88" t="s">
        <v>26</v>
      </c>
      <c r="D88" s="15">
        <v>45558</v>
      </c>
      <c r="E88" t="s">
        <v>23</v>
      </c>
      <c r="F88">
        <v>10</v>
      </c>
      <c r="G88" t="s">
        <v>20</v>
      </c>
      <c r="H88" t="s">
        <v>23</v>
      </c>
      <c r="I88" t="s">
        <v>311</v>
      </c>
      <c r="J88" t="s">
        <v>19</v>
      </c>
      <c r="K88">
        <v>20</v>
      </c>
      <c r="L88">
        <v>5</v>
      </c>
      <c r="M88">
        <v>25</v>
      </c>
    </row>
    <row r="89" spans="1:13" x14ac:dyDescent="0.25">
      <c r="A89">
        <v>3316</v>
      </c>
      <c r="B89" t="s">
        <v>114</v>
      </c>
      <c r="C89" t="s">
        <v>26</v>
      </c>
      <c r="D89" s="15">
        <v>45433</v>
      </c>
      <c r="E89" t="s">
        <v>23</v>
      </c>
      <c r="F89">
        <v>10</v>
      </c>
      <c r="G89" t="s">
        <v>27</v>
      </c>
      <c r="H89" t="s">
        <v>23</v>
      </c>
      <c r="I89" t="s">
        <v>311</v>
      </c>
      <c r="J89" t="s">
        <v>19</v>
      </c>
      <c r="K89">
        <v>20</v>
      </c>
      <c r="L89">
        <v>15</v>
      </c>
      <c r="M89">
        <v>15</v>
      </c>
    </row>
    <row r="90" spans="1:13" x14ac:dyDescent="0.25">
      <c r="A90">
        <v>3439</v>
      </c>
      <c r="B90" t="s">
        <v>231</v>
      </c>
      <c r="C90" t="s">
        <v>22</v>
      </c>
      <c r="D90" s="15">
        <v>45556</v>
      </c>
      <c r="E90" t="s">
        <v>23</v>
      </c>
      <c r="F90">
        <v>5</v>
      </c>
      <c r="G90" t="s">
        <v>27</v>
      </c>
      <c r="H90" t="s">
        <v>23</v>
      </c>
      <c r="I90" t="s">
        <v>311</v>
      </c>
      <c r="J90" t="s">
        <v>23</v>
      </c>
      <c r="K90">
        <v>0</v>
      </c>
      <c r="L90">
        <v>1</v>
      </c>
      <c r="M90">
        <v>4</v>
      </c>
    </row>
    <row r="91" spans="1:13" x14ac:dyDescent="0.25">
      <c r="A91">
        <v>3318</v>
      </c>
      <c r="B91" t="s">
        <v>116</v>
      </c>
      <c r="C91" t="s">
        <v>18</v>
      </c>
      <c r="D91" s="15">
        <v>45435</v>
      </c>
      <c r="E91" t="s">
        <v>23</v>
      </c>
      <c r="F91">
        <v>15</v>
      </c>
      <c r="G91" t="s">
        <v>24</v>
      </c>
      <c r="H91" t="s">
        <v>19</v>
      </c>
      <c r="I91">
        <v>30</v>
      </c>
      <c r="J91" t="s">
        <v>19</v>
      </c>
      <c r="K91">
        <v>20</v>
      </c>
      <c r="L91">
        <v>3</v>
      </c>
      <c r="M91">
        <v>62</v>
      </c>
    </row>
    <row r="92" spans="1:13" x14ac:dyDescent="0.25">
      <c r="A92">
        <v>3437</v>
      </c>
      <c r="B92" t="s">
        <v>229</v>
      </c>
      <c r="C92" t="s">
        <v>18</v>
      </c>
      <c r="D92" s="15">
        <v>45554</v>
      </c>
      <c r="E92" t="s">
        <v>23</v>
      </c>
      <c r="F92">
        <v>15</v>
      </c>
      <c r="G92" t="s">
        <v>27</v>
      </c>
      <c r="H92" t="s">
        <v>19</v>
      </c>
      <c r="I92">
        <v>30</v>
      </c>
      <c r="J92" t="s">
        <v>19</v>
      </c>
      <c r="K92">
        <v>20</v>
      </c>
      <c r="L92">
        <v>7</v>
      </c>
      <c r="M92">
        <v>58</v>
      </c>
    </row>
    <row r="93" spans="1:13" x14ac:dyDescent="0.25">
      <c r="A93">
        <v>3320</v>
      </c>
      <c r="B93" t="s">
        <v>118</v>
      </c>
      <c r="C93" t="s">
        <v>22</v>
      </c>
      <c r="D93" s="15">
        <v>45437</v>
      </c>
      <c r="E93" t="s">
        <v>23</v>
      </c>
      <c r="F93">
        <v>5</v>
      </c>
      <c r="G93" t="s">
        <v>27</v>
      </c>
      <c r="H93" t="s">
        <v>23</v>
      </c>
      <c r="I93" t="s">
        <v>311</v>
      </c>
      <c r="J93" t="s">
        <v>23</v>
      </c>
      <c r="K93">
        <v>0</v>
      </c>
      <c r="L93">
        <v>0</v>
      </c>
      <c r="M93">
        <v>5</v>
      </c>
    </row>
    <row r="94" spans="1:13" x14ac:dyDescent="0.25">
      <c r="A94">
        <v>3435</v>
      </c>
      <c r="B94" t="s">
        <v>227</v>
      </c>
      <c r="C94" t="s">
        <v>26</v>
      </c>
      <c r="D94" s="15">
        <v>45552</v>
      </c>
      <c r="E94" t="s">
        <v>23</v>
      </c>
      <c r="F94">
        <v>10</v>
      </c>
      <c r="G94" t="s">
        <v>20</v>
      </c>
      <c r="H94" t="s">
        <v>23</v>
      </c>
      <c r="I94" t="s">
        <v>311</v>
      </c>
      <c r="J94" t="s">
        <v>19</v>
      </c>
      <c r="K94">
        <v>20</v>
      </c>
      <c r="L94">
        <v>10</v>
      </c>
      <c r="M94">
        <v>20</v>
      </c>
    </row>
    <row r="95" spans="1:13" x14ac:dyDescent="0.25">
      <c r="A95">
        <v>3322</v>
      </c>
      <c r="B95" t="s">
        <v>120</v>
      </c>
      <c r="C95" t="s">
        <v>26</v>
      </c>
      <c r="D95" s="15">
        <v>45439</v>
      </c>
      <c r="E95" t="s">
        <v>23</v>
      </c>
      <c r="F95">
        <v>10</v>
      </c>
      <c r="G95" t="s">
        <v>24</v>
      </c>
      <c r="H95" t="s">
        <v>23</v>
      </c>
      <c r="I95" t="s">
        <v>311</v>
      </c>
      <c r="J95" t="s">
        <v>19</v>
      </c>
      <c r="K95">
        <v>20</v>
      </c>
      <c r="L95">
        <v>15</v>
      </c>
      <c r="M95">
        <v>15</v>
      </c>
    </row>
    <row r="96" spans="1:13" x14ac:dyDescent="0.25">
      <c r="A96">
        <v>3433</v>
      </c>
      <c r="B96" t="s">
        <v>225</v>
      </c>
      <c r="C96" t="s">
        <v>22</v>
      </c>
      <c r="D96" s="15">
        <v>45550</v>
      </c>
      <c r="E96" t="s">
        <v>23</v>
      </c>
      <c r="F96">
        <v>5</v>
      </c>
      <c r="G96" t="s">
        <v>20</v>
      </c>
      <c r="H96" t="s">
        <v>23</v>
      </c>
      <c r="I96" t="s">
        <v>311</v>
      </c>
      <c r="J96" t="s">
        <v>23</v>
      </c>
      <c r="K96">
        <v>0</v>
      </c>
      <c r="L96">
        <v>1</v>
      </c>
      <c r="M96">
        <v>4</v>
      </c>
    </row>
    <row r="97" spans="1:13" x14ac:dyDescent="0.25">
      <c r="A97">
        <v>3324</v>
      </c>
      <c r="B97" t="s">
        <v>122</v>
      </c>
      <c r="C97" t="s">
        <v>18</v>
      </c>
      <c r="D97" s="15">
        <v>45441</v>
      </c>
      <c r="E97" t="s">
        <v>23</v>
      </c>
      <c r="F97">
        <v>15</v>
      </c>
      <c r="G97" t="s">
        <v>27</v>
      </c>
      <c r="H97" t="s">
        <v>19</v>
      </c>
      <c r="I97">
        <v>30</v>
      </c>
      <c r="J97" t="s">
        <v>19</v>
      </c>
      <c r="K97">
        <v>20</v>
      </c>
      <c r="L97">
        <v>20</v>
      </c>
      <c r="M97">
        <v>45</v>
      </c>
    </row>
    <row r="98" spans="1:13" x14ac:dyDescent="0.25">
      <c r="A98">
        <v>3431</v>
      </c>
      <c r="B98" t="s">
        <v>223</v>
      </c>
      <c r="C98" t="s">
        <v>18</v>
      </c>
      <c r="D98" s="15">
        <v>45548</v>
      </c>
      <c r="E98" t="s">
        <v>23</v>
      </c>
      <c r="F98">
        <v>15</v>
      </c>
      <c r="G98" t="s">
        <v>20</v>
      </c>
      <c r="H98" t="s">
        <v>19</v>
      </c>
      <c r="I98">
        <v>30</v>
      </c>
      <c r="J98" t="s">
        <v>19</v>
      </c>
      <c r="K98">
        <v>20</v>
      </c>
      <c r="L98">
        <v>15</v>
      </c>
      <c r="M98">
        <v>50</v>
      </c>
    </row>
    <row r="99" spans="1:13" x14ac:dyDescent="0.25">
      <c r="A99">
        <v>3326</v>
      </c>
      <c r="B99" t="s">
        <v>124</v>
      </c>
      <c r="C99" t="s">
        <v>22</v>
      </c>
      <c r="D99" s="15">
        <v>45443</v>
      </c>
      <c r="E99" t="s">
        <v>23</v>
      </c>
      <c r="F99">
        <v>5</v>
      </c>
      <c r="G99" t="s">
        <v>24</v>
      </c>
      <c r="H99" t="s">
        <v>23</v>
      </c>
      <c r="I99" t="s">
        <v>311</v>
      </c>
      <c r="J99" t="s">
        <v>23</v>
      </c>
      <c r="K99">
        <v>0</v>
      </c>
      <c r="L99">
        <v>0</v>
      </c>
      <c r="M99">
        <v>5</v>
      </c>
    </row>
    <row r="100" spans="1:13" x14ac:dyDescent="0.25">
      <c r="A100">
        <v>3429</v>
      </c>
      <c r="B100" t="s">
        <v>221</v>
      </c>
      <c r="C100" t="s">
        <v>26</v>
      </c>
      <c r="D100" s="15">
        <v>45546</v>
      </c>
      <c r="E100" t="s">
        <v>23</v>
      </c>
      <c r="F100">
        <v>10</v>
      </c>
      <c r="G100" t="s">
        <v>20</v>
      </c>
      <c r="H100" t="s">
        <v>23</v>
      </c>
      <c r="I100" t="s">
        <v>311</v>
      </c>
      <c r="J100" t="s">
        <v>19</v>
      </c>
      <c r="K100">
        <v>20</v>
      </c>
      <c r="L100">
        <v>10</v>
      </c>
      <c r="M100">
        <v>20</v>
      </c>
    </row>
    <row r="101" spans="1:13" x14ac:dyDescent="0.25">
      <c r="A101">
        <v>3328</v>
      </c>
      <c r="B101" t="s">
        <v>126</v>
      </c>
      <c r="C101" t="s">
        <v>26</v>
      </c>
      <c r="D101" s="15">
        <v>45445</v>
      </c>
      <c r="E101" t="s">
        <v>23</v>
      </c>
      <c r="F101">
        <v>10</v>
      </c>
      <c r="G101" t="s">
        <v>24</v>
      </c>
      <c r="H101" t="s">
        <v>23</v>
      </c>
      <c r="I101" t="s">
        <v>311</v>
      </c>
      <c r="J101" t="s">
        <v>19</v>
      </c>
      <c r="K101">
        <v>20</v>
      </c>
      <c r="L101">
        <v>10</v>
      </c>
      <c r="M101">
        <v>20</v>
      </c>
    </row>
    <row r="102" spans="1:13" x14ac:dyDescent="0.25">
      <c r="A102">
        <v>3427</v>
      </c>
      <c r="B102" t="s">
        <v>219</v>
      </c>
      <c r="C102" t="s">
        <v>22</v>
      </c>
      <c r="D102" s="15">
        <v>45544</v>
      </c>
      <c r="E102" t="s">
        <v>23</v>
      </c>
      <c r="F102">
        <v>5</v>
      </c>
      <c r="G102" t="s">
        <v>20</v>
      </c>
      <c r="H102" t="s">
        <v>23</v>
      </c>
      <c r="I102" t="s">
        <v>311</v>
      </c>
      <c r="J102" t="s">
        <v>23</v>
      </c>
      <c r="K102">
        <v>0</v>
      </c>
      <c r="L102">
        <v>1</v>
      </c>
      <c r="M102">
        <v>4</v>
      </c>
    </row>
    <row r="103" spans="1:13" x14ac:dyDescent="0.25">
      <c r="A103">
        <v>3330</v>
      </c>
      <c r="B103" t="s">
        <v>128</v>
      </c>
      <c r="C103" t="s">
        <v>18</v>
      </c>
      <c r="D103" s="15">
        <v>45447</v>
      </c>
      <c r="E103" t="s">
        <v>23</v>
      </c>
      <c r="F103">
        <v>15</v>
      </c>
      <c r="G103" t="s">
        <v>20</v>
      </c>
      <c r="H103" t="s">
        <v>19</v>
      </c>
      <c r="I103">
        <v>30</v>
      </c>
      <c r="J103" t="s">
        <v>19</v>
      </c>
      <c r="K103">
        <v>20</v>
      </c>
      <c r="L103">
        <v>15</v>
      </c>
      <c r="M103">
        <v>50</v>
      </c>
    </row>
    <row r="104" spans="1:13" x14ac:dyDescent="0.25">
      <c r="A104">
        <v>3425</v>
      </c>
      <c r="B104" t="s">
        <v>218</v>
      </c>
      <c r="C104" t="s">
        <v>18</v>
      </c>
      <c r="D104" s="15">
        <v>45542</v>
      </c>
      <c r="E104" t="s">
        <v>23</v>
      </c>
      <c r="F104">
        <v>15</v>
      </c>
      <c r="G104" t="s">
        <v>20</v>
      </c>
      <c r="H104" t="s">
        <v>19</v>
      </c>
      <c r="I104">
        <v>30</v>
      </c>
      <c r="J104" t="s">
        <v>19</v>
      </c>
      <c r="K104">
        <v>20</v>
      </c>
      <c r="L104">
        <v>20</v>
      </c>
      <c r="M104">
        <v>45</v>
      </c>
    </row>
    <row r="105" spans="1:13" x14ac:dyDescent="0.25">
      <c r="A105">
        <v>3332</v>
      </c>
      <c r="B105" t="s">
        <v>130</v>
      </c>
      <c r="C105" t="s">
        <v>22</v>
      </c>
      <c r="D105" s="15">
        <v>45449</v>
      </c>
      <c r="E105" t="s">
        <v>23</v>
      </c>
      <c r="F105">
        <v>5</v>
      </c>
      <c r="G105" t="s">
        <v>24</v>
      </c>
      <c r="H105" t="s">
        <v>23</v>
      </c>
      <c r="I105" t="s">
        <v>311</v>
      </c>
      <c r="J105" t="s">
        <v>23</v>
      </c>
      <c r="K105">
        <v>0</v>
      </c>
      <c r="L105">
        <v>0</v>
      </c>
      <c r="M105">
        <v>5</v>
      </c>
    </row>
    <row r="106" spans="1:13" x14ac:dyDescent="0.25">
      <c r="A106">
        <v>3423</v>
      </c>
      <c r="B106" t="s">
        <v>217</v>
      </c>
      <c r="C106" t="s">
        <v>26</v>
      </c>
      <c r="D106" s="15">
        <v>45540</v>
      </c>
      <c r="E106" t="s">
        <v>23</v>
      </c>
      <c r="F106">
        <v>10</v>
      </c>
      <c r="G106" t="s">
        <v>20</v>
      </c>
      <c r="H106" t="s">
        <v>23</v>
      </c>
      <c r="I106" t="s">
        <v>311</v>
      </c>
      <c r="J106" t="s">
        <v>19</v>
      </c>
      <c r="K106">
        <v>20</v>
      </c>
      <c r="L106">
        <v>10</v>
      </c>
      <c r="M106">
        <v>20</v>
      </c>
    </row>
    <row r="107" spans="1:13" x14ac:dyDescent="0.25">
      <c r="A107">
        <v>3334</v>
      </c>
      <c r="B107" t="s">
        <v>132</v>
      </c>
      <c r="C107" t="s">
        <v>26</v>
      </c>
      <c r="D107" s="15">
        <v>45451</v>
      </c>
      <c r="E107" t="s">
        <v>23</v>
      </c>
      <c r="F107">
        <v>10</v>
      </c>
      <c r="G107" t="s">
        <v>27</v>
      </c>
      <c r="H107" t="s">
        <v>23</v>
      </c>
      <c r="I107" t="s">
        <v>311</v>
      </c>
      <c r="J107" t="s">
        <v>19</v>
      </c>
      <c r="K107">
        <v>20</v>
      </c>
      <c r="L107">
        <v>12</v>
      </c>
      <c r="M107">
        <v>18</v>
      </c>
    </row>
    <row r="108" spans="1:13" x14ac:dyDescent="0.25">
      <c r="A108">
        <v>3421</v>
      </c>
      <c r="B108" t="s">
        <v>44</v>
      </c>
      <c r="C108" t="s">
        <v>22</v>
      </c>
      <c r="D108" s="15">
        <v>45538</v>
      </c>
      <c r="E108" t="s">
        <v>23</v>
      </c>
      <c r="F108">
        <v>5</v>
      </c>
      <c r="G108" t="s">
        <v>20</v>
      </c>
      <c r="H108" t="s">
        <v>23</v>
      </c>
      <c r="I108" t="s">
        <v>311</v>
      </c>
      <c r="J108" t="s">
        <v>23</v>
      </c>
      <c r="K108">
        <v>0</v>
      </c>
      <c r="L108">
        <v>1</v>
      </c>
      <c r="M108">
        <v>4</v>
      </c>
    </row>
    <row r="109" spans="1:13" x14ac:dyDescent="0.25">
      <c r="A109">
        <v>3419</v>
      </c>
      <c r="B109" t="s">
        <v>214</v>
      </c>
      <c r="C109" t="s">
        <v>18</v>
      </c>
      <c r="D109" s="15">
        <v>45536</v>
      </c>
      <c r="E109" t="s">
        <v>23</v>
      </c>
      <c r="F109">
        <v>15</v>
      </c>
      <c r="G109" t="s">
        <v>20</v>
      </c>
      <c r="H109" t="s">
        <v>19</v>
      </c>
      <c r="I109">
        <v>30</v>
      </c>
      <c r="J109" t="s">
        <v>19</v>
      </c>
      <c r="K109">
        <v>20</v>
      </c>
      <c r="L109">
        <v>3</v>
      </c>
      <c r="M109">
        <v>62</v>
      </c>
    </row>
    <row r="110" spans="1:13" x14ac:dyDescent="0.25">
      <c r="A110">
        <v>3337</v>
      </c>
      <c r="B110" t="s">
        <v>135</v>
      </c>
      <c r="C110" t="s">
        <v>18</v>
      </c>
      <c r="D110" s="15">
        <v>45454</v>
      </c>
      <c r="E110" t="s">
        <v>23</v>
      </c>
      <c r="F110">
        <v>15</v>
      </c>
      <c r="G110" t="s">
        <v>27</v>
      </c>
      <c r="H110" t="s">
        <v>19</v>
      </c>
      <c r="I110">
        <v>30</v>
      </c>
      <c r="J110" t="s">
        <v>19</v>
      </c>
      <c r="K110">
        <v>20</v>
      </c>
      <c r="L110">
        <v>7</v>
      </c>
      <c r="M110">
        <v>58</v>
      </c>
    </row>
    <row r="111" spans="1:13" x14ac:dyDescent="0.25">
      <c r="A111">
        <v>3417</v>
      </c>
      <c r="B111" t="s">
        <v>212</v>
      </c>
      <c r="C111" t="s">
        <v>26</v>
      </c>
      <c r="D111" s="15">
        <v>45534</v>
      </c>
      <c r="E111" t="s">
        <v>23</v>
      </c>
      <c r="F111">
        <v>10</v>
      </c>
      <c r="G111" t="s">
        <v>20</v>
      </c>
      <c r="H111" t="s">
        <v>23</v>
      </c>
      <c r="I111" t="s">
        <v>311</v>
      </c>
      <c r="J111" t="s">
        <v>19</v>
      </c>
      <c r="K111">
        <v>20</v>
      </c>
      <c r="L111">
        <v>10</v>
      </c>
      <c r="M111">
        <v>20</v>
      </c>
    </row>
    <row r="112" spans="1:13" x14ac:dyDescent="0.25">
      <c r="A112">
        <v>3339</v>
      </c>
      <c r="B112" t="s">
        <v>137</v>
      </c>
      <c r="C112" t="s">
        <v>22</v>
      </c>
      <c r="D112" s="15">
        <v>45456</v>
      </c>
      <c r="E112" t="s">
        <v>23</v>
      </c>
      <c r="F112">
        <v>5</v>
      </c>
      <c r="G112" t="s">
        <v>27</v>
      </c>
      <c r="H112" t="s">
        <v>23</v>
      </c>
      <c r="I112" t="s">
        <v>311</v>
      </c>
      <c r="J112" t="s">
        <v>23</v>
      </c>
      <c r="K112">
        <v>0</v>
      </c>
      <c r="L112">
        <v>1</v>
      </c>
      <c r="M112">
        <v>4</v>
      </c>
    </row>
    <row r="113" spans="1:13" x14ac:dyDescent="0.25">
      <c r="A113">
        <v>3415</v>
      </c>
      <c r="B113" t="s">
        <v>210</v>
      </c>
      <c r="C113" t="s">
        <v>22</v>
      </c>
      <c r="D113" s="15">
        <v>45532</v>
      </c>
      <c r="E113" t="s">
        <v>23</v>
      </c>
      <c r="F113">
        <v>5</v>
      </c>
      <c r="G113" t="s">
        <v>20</v>
      </c>
      <c r="H113" t="s">
        <v>23</v>
      </c>
      <c r="I113" t="s">
        <v>311</v>
      </c>
      <c r="J113" t="s">
        <v>23</v>
      </c>
      <c r="K113">
        <v>0</v>
      </c>
      <c r="L113">
        <v>2</v>
      </c>
      <c r="M113">
        <v>3</v>
      </c>
    </row>
    <row r="114" spans="1:13" x14ac:dyDescent="0.25">
      <c r="A114">
        <v>3341</v>
      </c>
      <c r="B114" t="s">
        <v>139</v>
      </c>
      <c r="C114" t="s">
        <v>26</v>
      </c>
      <c r="D114" s="15">
        <v>45458</v>
      </c>
      <c r="E114" t="s">
        <v>23</v>
      </c>
      <c r="F114">
        <v>10</v>
      </c>
      <c r="G114" t="s">
        <v>20</v>
      </c>
      <c r="H114" t="s">
        <v>23</v>
      </c>
      <c r="I114" t="s">
        <v>311</v>
      </c>
      <c r="J114" t="s">
        <v>19</v>
      </c>
      <c r="K114">
        <v>20</v>
      </c>
      <c r="L114">
        <v>5</v>
      </c>
      <c r="M114">
        <v>25</v>
      </c>
    </row>
    <row r="115" spans="1:13" x14ac:dyDescent="0.25">
      <c r="A115">
        <v>3413</v>
      </c>
      <c r="B115" t="s">
        <v>208</v>
      </c>
      <c r="C115" t="s">
        <v>18</v>
      </c>
      <c r="D115" s="15">
        <v>45530</v>
      </c>
      <c r="E115" t="s">
        <v>23</v>
      </c>
      <c r="F115">
        <v>15</v>
      </c>
      <c r="G115" t="s">
        <v>27</v>
      </c>
      <c r="H115" t="s">
        <v>19</v>
      </c>
      <c r="I115">
        <v>30</v>
      </c>
      <c r="J115" t="s">
        <v>19</v>
      </c>
      <c r="K115">
        <v>20</v>
      </c>
      <c r="L115">
        <v>20</v>
      </c>
      <c r="M115">
        <v>45</v>
      </c>
    </row>
    <row r="116" spans="1:13" x14ac:dyDescent="0.25">
      <c r="A116">
        <v>3343</v>
      </c>
      <c r="B116" t="s">
        <v>141</v>
      </c>
      <c r="C116" t="s">
        <v>18</v>
      </c>
      <c r="D116" s="15">
        <v>45460</v>
      </c>
      <c r="E116" t="s">
        <v>23</v>
      </c>
      <c r="F116">
        <v>15</v>
      </c>
      <c r="G116" t="s">
        <v>27</v>
      </c>
      <c r="H116" t="s">
        <v>19</v>
      </c>
      <c r="I116">
        <v>30</v>
      </c>
      <c r="J116" t="s">
        <v>19</v>
      </c>
      <c r="K116">
        <v>20</v>
      </c>
      <c r="L116">
        <v>20</v>
      </c>
      <c r="M116">
        <v>45</v>
      </c>
    </row>
    <row r="117" spans="1:13" x14ac:dyDescent="0.25">
      <c r="A117">
        <v>3411</v>
      </c>
      <c r="B117" t="s">
        <v>206</v>
      </c>
      <c r="C117" t="s">
        <v>26</v>
      </c>
      <c r="D117" s="15">
        <v>45528</v>
      </c>
      <c r="E117" t="s">
        <v>23</v>
      </c>
      <c r="F117">
        <v>10</v>
      </c>
      <c r="G117" t="s">
        <v>20</v>
      </c>
      <c r="H117" t="s">
        <v>23</v>
      </c>
      <c r="I117" t="s">
        <v>311</v>
      </c>
      <c r="J117" t="s">
        <v>19</v>
      </c>
      <c r="K117">
        <v>20</v>
      </c>
      <c r="L117">
        <v>5</v>
      </c>
      <c r="M117">
        <v>25</v>
      </c>
    </row>
    <row r="118" spans="1:13" x14ac:dyDescent="0.25">
      <c r="A118">
        <v>3345</v>
      </c>
      <c r="B118" t="s">
        <v>143</v>
      </c>
      <c r="C118" t="s">
        <v>22</v>
      </c>
      <c r="D118" s="15">
        <v>45462</v>
      </c>
      <c r="E118" t="s">
        <v>23</v>
      </c>
      <c r="F118">
        <v>5</v>
      </c>
      <c r="G118" t="s">
        <v>20</v>
      </c>
      <c r="H118" t="s">
        <v>23</v>
      </c>
      <c r="I118" t="s">
        <v>311</v>
      </c>
      <c r="J118" t="s">
        <v>23</v>
      </c>
      <c r="K118">
        <v>0</v>
      </c>
      <c r="L118">
        <v>2</v>
      </c>
      <c r="M118">
        <v>3</v>
      </c>
    </row>
    <row r="119" spans="1:13" x14ac:dyDescent="0.25">
      <c r="A119">
        <v>3409</v>
      </c>
      <c r="B119" t="s">
        <v>204</v>
      </c>
      <c r="C119" t="s">
        <v>22</v>
      </c>
      <c r="D119" s="15">
        <v>45526</v>
      </c>
      <c r="E119" t="s">
        <v>23</v>
      </c>
      <c r="F119">
        <v>5</v>
      </c>
      <c r="G119" t="s">
        <v>27</v>
      </c>
      <c r="H119" t="s">
        <v>23</v>
      </c>
      <c r="I119" t="s">
        <v>311</v>
      </c>
      <c r="J119" t="s">
        <v>23</v>
      </c>
      <c r="K119">
        <v>0</v>
      </c>
      <c r="L119">
        <v>1</v>
      </c>
      <c r="M119">
        <v>4</v>
      </c>
    </row>
    <row r="120" spans="1:13" x14ac:dyDescent="0.25">
      <c r="A120">
        <v>3347</v>
      </c>
      <c r="B120" t="s">
        <v>145</v>
      </c>
      <c r="C120" t="s">
        <v>26</v>
      </c>
      <c r="D120" s="15">
        <v>45464</v>
      </c>
      <c r="E120" t="s">
        <v>23</v>
      </c>
      <c r="F120">
        <v>10</v>
      </c>
      <c r="G120" t="s">
        <v>20</v>
      </c>
      <c r="H120" t="s">
        <v>23</v>
      </c>
      <c r="I120" t="s">
        <v>311</v>
      </c>
      <c r="J120" t="s">
        <v>19</v>
      </c>
      <c r="K120">
        <v>20</v>
      </c>
      <c r="L120">
        <v>10</v>
      </c>
      <c r="M120">
        <v>20</v>
      </c>
    </row>
    <row r="121" spans="1:13" x14ac:dyDescent="0.25">
      <c r="A121">
        <v>3407</v>
      </c>
      <c r="B121" t="s">
        <v>202</v>
      </c>
      <c r="C121" t="s">
        <v>18</v>
      </c>
      <c r="D121" s="15">
        <v>45524</v>
      </c>
      <c r="E121" t="s">
        <v>23</v>
      </c>
      <c r="F121">
        <v>15</v>
      </c>
      <c r="G121" t="s">
        <v>27</v>
      </c>
      <c r="H121" t="s">
        <v>19</v>
      </c>
      <c r="I121">
        <v>30</v>
      </c>
      <c r="J121" t="s">
        <v>19</v>
      </c>
      <c r="K121">
        <v>20</v>
      </c>
      <c r="L121">
        <v>7</v>
      </c>
      <c r="M121">
        <v>58</v>
      </c>
    </row>
    <row r="122" spans="1:13" x14ac:dyDescent="0.25">
      <c r="A122">
        <v>3349</v>
      </c>
      <c r="B122" t="s">
        <v>122</v>
      </c>
      <c r="C122" t="s">
        <v>18</v>
      </c>
      <c r="D122" s="15">
        <v>45466</v>
      </c>
      <c r="E122" t="s">
        <v>23</v>
      </c>
      <c r="F122">
        <v>15</v>
      </c>
      <c r="G122" t="s">
        <v>20</v>
      </c>
      <c r="H122" t="s">
        <v>19</v>
      </c>
      <c r="I122">
        <v>30</v>
      </c>
      <c r="J122" t="s">
        <v>19</v>
      </c>
      <c r="K122">
        <v>20</v>
      </c>
      <c r="L122">
        <v>3</v>
      </c>
      <c r="M122">
        <v>62</v>
      </c>
    </row>
    <row r="123" spans="1:13" x14ac:dyDescent="0.25">
      <c r="A123">
        <v>3405</v>
      </c>
      <c r="B123" t="s">
        <v>200</v>
      </c>
      <c r="C123" t="s">
        <v>22</v>
      </c>
      <c r="D123" s="15">
        <v>45522</v>
      </c>
      <c r="E123" t="s">
        <v>23</v>
      </c>
      <c r="F123">
        <v>5</v>
      </c>
      <c r="G123" t="s">
        <v>20</v>
      </c>
      <c r="H123" t="s">
        <v>23</v>
      </c>
      <c r="I123" t="s">
        <v>311</v>
      </c>
      <c r="J123" t="s">
        <v>23</v>
      </c>
      <c r="K123">
        <v>0</v>
      </c>
      <c r="L123">
        <v>1</v>
      </c>
      <c r="M123">
        <v>4</v>
      </c>
    </row>
    <row r="124" spans="1:13" x14ac:dyDescent="0.25">
      <c r="A124">
        <v>3351</v>
      </c>
      <c r="B124" t="s">
        <v>148</v>
      </c>
      <c r="C124" t="s">
        <v>22</v>
      </c>
      <c r="D124" s="15">
        <v>45468</v>
      </c>
      <c r="E124" t="s">
        <v>23</v>
      </c>
      <c r="F124">
        <v>5</v>
      </c>
      <c r="G124" t="s">
        <v>20</v>
      </c>
      <c r="H124" t="s">
        <v>23</v>
      </c>
      <c r="I124" t="s">
        <v>311</v>
      </c>
      <c r="J124" t="s">
        <v>23</v>
      </c>
      <c r="K124">
        <v>0</v>
      </c>
      <c r="L124">
        <v>1</v>
      </c>
      <c r="M124">
        <v>4</v>
      </c>
    </row>
    <row r="125" spans="1:13" x14ac:dyDescent="0.25">
      <c r="A125">
        <v>3403</v>
      </c>
      <c r="B125" t="s">
        <v>198</v>
      </c>
      <c r="C125" t="s">
        <v>18</v>
      </c>
      <c r="D125" s="15">
        <v>45520</v>
      </c>
      <c r="E125" t="s">
        <v>23</v>
      </c>
      <c r="F125">
        <v>15</v>
      </c>
      <c r="G125" t="s">
        <v>20</v>
      </c>
      <c r="H125" t="s">
        <v>19</v>
      </c>
      <c r="I125">
        <v>30</v>
      </c>
      <c r="J125" t="s">
        <v>19</v>
      </c>
      <c r="K125">
        <v>20</v>
      </c>
      <c r="L125">
        <v>3</v>
      </c>
      <c r="M125">
        <v>62</v>
      </c>
    </row>
    <row r="126" spans="1:13" x14ac:dyDescent="0.25">
      <c r="A126">
        <v>3353</v>
      </c>
      <c r="B126" t="s">
        <v>150</v>
      </c>
      <c r="C126" t="s">
        <v>26</v>
      </c>
      <c r="D126" s="15">
        <v>45470</v>
      </c>
      <c r="E126" t="s">
        <v>23</v>
      </c>
      <c r="F126">
        <v>10</v>
      </c>
      <c r="G126" t="s">
        <v>20</v>
      </c>
      <c r="H126" t="s">
        <v>23</v>
      </c>
      <c r="I126" t="s">
        <v>311</v>
      </c>
      <c r="J126" t="s">
        <v>19</v>
      </c>
      <c r="K126">
        <v>20</v>
      </c>
      <c r="L126">
        <v>10</v>
      </c>
      <c r="M126">
        <v>20</v>
      </c>
    </row>
    <row r="127" spans="1:13" x14ac:dyDescent="0.25">
      <c r="A127">
        <v>3401</v>
      </c>
      <c r="B127" t="s">
        <v>196</v>
      </c>
      <c r="C127" t="s">
        <v>26</v>
      </c>
      <c r="D127" s="15">
        <v>45518</v>
      </c>
      <c r="E127" t="s">
        <v>23</v>
      </c>
      <c r="F127">
        <v>10</v>
      </c>
      <c r="G127" t="s">
        <v>20</v>
      </c>
      <c r="H127" t="s">
        <v>23</v>
      </c>
      <c r="I127" t="s">
        <v>311</v>
      </c>
      <c r="J127" t="s">
        <v>19</v>
      </c>
      <c r="K127">
        <v>20</v>
      </c>
      <c r="L127">
        <v>10</v>
      </c>
      <c r="M127">
        <v>20</v>
      </c>
    </row>
    <row r="128" spans="1:13" x14ac:dyDescent="0.25">
      <c r="A128">
        <v>3355</v>
      </c>
      <c r="B128" t="s">
        <v>152</v>
      </c>
      <c r="C128" t="s">
        <v>18</v>
      </c>
      <c r="D128" s="15">
        <v>45472</v>
      </c>
      <c r="E128" t="s">
        <v>23</v>
      </c>
      <c r="F128">
        <v>15</v>
      </c>
      <c r="G128" t="s">
        <v>20</v>
      </c>
      <c r="H128" t="s">
        <v>19</v>
      </c>
      <c r="I128">
        <v>30</v>
      </c>
      <c r="J128" t="s">
        <v>19</v>
      </c>
      <c r="K128">
        <v>20</v>
      </c>
      <c r="L128">
        <v>20</v>
      </c>
      <c r="M128">
        <v>45</v>
      </c>
    </row>
    <row r="129" spans="1:13" x14ac:dyDescent="0.25">
      <c r="A129">
        <v>3399</v>
      </c>
      <c r="B129" t="s">
        <v>194</v>
      </c>
      <c r="C129" t="s">
        <v>22</v>
      </c>
      <c r="D129" s="15">
        <v>45516</v>
      </c>
      <c r="E129" t="s">
        <v>23</v>
      </c>
      <c r="F129">
        <v>5</v>
      </c>
      <c r="G129" t="s">
        <v>20</v>
      </c>
      <c r="H129" t="s">
        <v>23</v>
      </c>
      <c r="I129" t="s">
        <v>311</v>
      </c>
      <c r="J129" t="s">
        <v>23</v>
      </c>
      <c r="K129">
        <v>0</v>
      </c>
      <c r="L129">
        <v>1</v>
      </c>
      <c r="M129">
        <v>4</v>
      </c>
    </row>
    <row r="130" spans="1:13" x14ac:dyDescent="0.25">
      <c r="A130">
        <v>3357</v>
      </c>
      <c r="B130" t="s">
        <v>154</v>
      </c>
      <c r="C130" t="s">
        <v>22</v>
      </c>
      <c r="D130" s="15">
        <v>45474</v>
      </c>
      <c r="E130" t="s">
        <v>23</v>
      </c>
      <c r="F130">
        <v>5</v>
      </c>
      <c r="G130" t="s">
        <v>20</v>
      </c>
      <c r="H130" t="s">
        <v>23</v>
      </c>
      <c r="I130" t="s">
        <v>311</v>
      </c>
      <c r="J130" t="s">
        <v>23</v>
      </c>
      <c r="K130">
        <v>0</v>
      </c>
      <c r="L130">
        <v>1</v>
      </c>
      <c r="M130">
        <v>4</v>
      </c>
    </row>
    <row r="131" spans="1:13" x14ac:dyDescent="0.25">
      <c r="A131">
        <v>3397</v>
      </c>
      <c r="B131" t="s">
        <v>119</v>
      </c>
      <c r="C131" t="s">
        <v>18</v>
      </c>
      <c r="D131" s="15">
        <v>45514</v>
      </c>
      <c r="E131" t="s">
        <v>23</v>
      </c>
      <c r="F131">
        <v>15</v>
      </c>
      <c r="G131" t="s">
        <v>20</v>
      </c>
      <c r="H131" t="s">
        <v>19</v>
      </c>
      <c r="I131">
        <v>30</v>
      </c>
      <c r="J131" t="s">
        <v>19</v>
      </c>
      <c r="K131">
        <v>20</v>
      </c>
      <c r="L131">
        <v>20</v>
      </c>
      <c r="M131">
        <v>45</v>
      </c>
    </row>
    <row r="132" spans="1:13" x14ac:dyDescent="0.25">
      <c r="A132">
        <v>3359</v>
      </c>
      <c r="B132" t="s">
        <v>156</v>
      </c>
      <c r="C132" t="s">
        <v>26</v>
      </c>
      <c r="D132" s="15">
        <v>45476</v>
      </c>
      <c r="E132" t="s">
        <v>23</v>
      </c>
      <c r="F132">
        <v>10</v>
      </c>
      <c r="G132" t="s">
        <v>20</v>
      </c>
      <c r="H132" t="s">
        <v>23</v>
      </c>
      <c r="I132" t="s">
        <v>311</v>
      </c>
      <c r="J132" t="s">
        <v>19</v>
      </c>
      <c r="K132">
        <v>20</v>
      </c>
      <c r="L132">
        <v>10</v>
      </c>
      <c r="M132">
        <v>20</v>
      </c>
    </row>
    <row r="133" spans="1:13" x14ac:dyDescent="0.25">
      <c r="A133">
        <v>3395</v>
      </c>
      <c r="B133" t="s">
        <v>191</v>
      </c>
      <c r="C133" t="s">
        <v>26</v>
      </c>
      <c r="D133" s="15">
        <v>45512</v>
      </c>
      <c r="E133" t="s">
        <v>23</v>
      </c>
      <c r="F133">
        <v>10</v>
      </c>
      <c r="G133" t="s">
        <v>20</v>
      </c>
      <c r="H133" t="s">
        <v>23</v>
      </c>
      <c r="I133" t="s">
        <v>311</v>
      </c>
      <c r="J133" t="s">
        <v>19</v>
      </c>
      <c r="K133">
        <v>20</v>
      </c>
      <c r="L133">
        <v>10</v>
      </c>
      <c r="M133">
        <v>20</v>
      </c>
    </row>
    <row r="134" spans="1:13" x14ac:dyDescent="0.25">
      <c r="A134">
        <v>3361</v>
      </c>
      <c r="B134" t="s">
        <v>158</v>
      </c>
      <c r="C134" t="s">
        <v>18</v>
      </c>
      <c r="D134" s="15">
        <v>45478</v>
      </c>
      <c r="E134" t="s">
        <v>23</v>
      </c>
      <c r="F134">
        <v>15</v>
      </c>
      <c r="G134" t="s">
        <v>20</v>
      </c>
      <c r="H134" t="s">
        <v>19</v>
      </c>
      <c r="I134">
        <v>30</v>
      </c>
      <c r="J134" t="s">
        <v>19</v>
      </c>
      <c r="K134">
        <v>20</v>
      </c>
      <c r="L134">
        <v>15</v>
      </c>
      <c r="M134">
        <v>50</v>
      </c>
    </row>
    <row r="135" spans="1:13" x14ac:dyDescent="0.25">
      <c r="A135">
        <v>3393</v>
      </c>
      <c r="B135" t="s">
        <v>189</v>
      </c>
      <c r="C135" t="s">
        <v>22</v>
      </c>
      <c r="D135" s="15">
        <v>45510</v>
      </c>
      <c r="E135" t="s">
        <v>23</v>
      </c>
      <c r="F135">
        <v>5</v>
      </c>
      <c r="G135" t="s">
        <v>20</v>
      </c>
      <c r="H135" t="s">
        <v>23</v>
      </c>
      <c r="I135" t="s">
        <v>311</v>
      </c>
      <c r="J135" t="s">
        <v>23</v>
      </c>
      <c r="K135">
        <v>0</v>
      </c>
      <c r="L135">
        <v>1</v>
      </c>
      <c r="M135">
        <v>4</v>
      </c>
    </row>
    <row r="136" spans="1:13" x14ac:dyDescent="0.25">
      <c r="A136">
        <v>3363</v>
      </c>
      <c r="B136" t="s">
        <v>160</v>
      </c>
      <c r="C136" t="s">
        <v>22</v>
      </c>
      <c r="D136" s="15">
        <v>45480</v>
      </c>
      <c r="E136" t="s">
        <v>23</v>
      </c>
      <c r="F136">
        <v>5</v>
      </c>
      <c r="G136" t="s">
        <v>20</v>
      </c>
      <c r="H136" t="s">
        <v>23</v>
      </c>
      <c r="I136" t="s">
        <v>311</v>
      </c>
      <c r="J136" t="s">
        <v>23</v>
      </c>
      <c r="K136">
        <v>0</v>
      </c>
      <c r="L136">
        <v>1</v>
      </c>
      <c r="M136">
        <v>4</v>
      </c>
    </row>
    <row r="137" spans="1:13" x14ac:dyDescent="0.25">
      <c r="A137">
        <v>3391</v>
      </c>
      <c r="B137" t="s">
        <v>87</v>
      </c>
      <c r="C137" t="s">
        <v>18</v>
      </c>
      <c r="D137" s="15">
        <v>45508</v>
      </c>
      <c r="E137" t="s">
        <v>23</v>
      </c>
      <c r="F137">
        <v>15</v>
      </c>
      <c r="G137" t="s">
        <v>20</v>
      </c>
      <c r="H137" t="s">
        <v>19</v>
      </c>
      <c r="I137">
        <v>30</v>
      </c>
      <c r="J137" t="s">
        <v>19</v>
      </c>
      <c r="K137">
        <v>20</v>
      </c>
      <c r="L137">
        <v>15</v>
      </c>
      <c r="M137">
        <v>50</v>
      </c>
    </row>
    <row r="138" spans="1:13" x14ac:dyDescent="0.25">
      <c r="A138">
        <v>3365</v>
      </c>
      <c r="B138" t="s">
        <v>162</v>
      </c>
      <c r="C138" t="s">
        <v>26</v>
      </c>
      <c r="D138" s="15">
        <v>45482</v>
      </c>
      <c r="E138" t="s">
        <v>23</v>
      </c>
      <c r="F138">
        <v>10</v>
      </c>
      <c r="G138" t="s">
        <v>20</v>
      </c>
      <c r="H138" t="s">
        <v>23</v>
      </c>
      <c r="I138" t="s">
        <v>311</v>
      </c>
      <c r="J138" t="s">
        <v>19</v>
      </c>
      <c r="K138">
        <v>20</v>
      </c>
      <c r="L138">
        <v>10</v>
      </c>
      <c r="M138">
        <v>20</v>
      </c>
    </row>
    <row r="139" spans="1:13" x14ac:dyDescent="0.25">
      <c r="A139">
        <v>3389</v>
      </c>
      <c r="B139" t="s">
        <v>186</v>
      </c>
      <c r="C139" t="s">
        <v>26</v>
      </c>
      <c r="D139" s="15">
        <v>45506</v>
      </c>
      <c r="E139" t="s">
        <v>23</v>
      </c>
      <c r="F139">
        <v>10</v>
      </c>
      <c r="G139" t="s">
        <v>20</v>
      </c>
      <c r="H139" t="s">
        <v>23</v>
      </c>
      <c r="I139" t="s">
        <v>311</v>
      </c>
      <c r="J139" t="s">
        <v>19</v>
      </c>
      <c r="K139">
        <v>20</v>
      </c>
      <c r="L139">
        <v>10</v>
      </c>
      <c r="M139">
        <v>20</v>
      </c>
    </row>
    <row r="140" spans="1:13" x14ac:dyDescent="0.25">
      <c r="A140">
        <v>3367</v>
      </c>
      <c r="B140" t="s">
        <v>164</v>
      </c>
      <c r="C140" t="s">
        <v>18</v>
      </c>
      <c r="D140" s="15">
        <v>45484</v>
      </c>
      <c r="E140" t="s">
        <v>23</v>
      </c>
      <c r="F140">
        <v>15</v>
      </c>
      <c r="G140" t="s">
        <v>27</v>
      </c>
      <c r="H140" t="s">
        <v>19</v>
      </c>
      <c r="I140">
        <v>30</v>
      </c>
      <c r="J140" t="s">
        <v>19</v>
      </c>
      <c r="K140">
        <v>20</v>
      </c>
      <c r="L140">
        <v>7</v>
      </c>
      <c r="M140">
        <v>58</v>
      </c>
    </row>
    <row r="141" spans="1:13" x14ac:dyDescent="0.25">
      <c r="A141">
        <v>3387</v>
      </c>
      <c r="B141" t="s">
        <v>184</v>
      </c>
      <c r="C141" t="s">
        <v>22</v>
      </c>
      <c r="D141" s="15">
        <v>45504</v>
      </c>
      <c r="E141" t="s">
        <v>23</v>
      </c>
      <c r="F141">
        <v>5</v>
      </c>
      <c r="G141" t="s">
        <v>20</v>
      </c>
      <c r="H141" t="s">
        <v>23</v>
      </c>
      <c r="I141" t="s">
        <v>311</v>
      </c>
      <c r="J141" t="s">
        <v>23</v>
      </c>
      <c r="K141">
        <v>0</v>
      </c>
      <c r="L141">
        <v>1</v>
      </c>
      <c r="M141">
        <v>4</v>
      </c>
    </row>
    <row r="142" spans="1:13" x14ac:dyDescent="0.25">
      <c r="A142">
        <v>3369</v>
      </c>
      <c r="B142" t="s">
        <v>166</v>
      </c>
      <c r="C142" t="s">
        <v>22</v>
      </c>
      <c r="D142" s="15">
        <v>45486</v>
      </c>
      <c r="E142" t="s">
        <v>23</v>
      </c>
      <c r="F142">
        <v>5</v>
      </c>
      <c r="G142" t="s">
        <v>27</v>
      </c>
      <c r="H142" t="s">
        <v>23</v>
      </c>
      <c r="I142" t="s">
        <v>311</v>
      </c>
      <c r="J142" t="s">
        <v>23</v>
      </c>
      <c r="K142">
        <v>0</v>
      </c>
      <c r="L142">
        <v>1</v>
      </c>
      <c r="M142">
        <v>4</v>
      </c>
    </row>
    <row r="143" spans="1:13" x14ac:dyDescent="0.25">
      <c r="A143">
        <v>3385</v>
      </c>
      <c r="B143" t="s">
        <v>182</v>
      </c>
      <c r="C143" t="s">
        <v>18</v>
      </c>
      <c r="D143" s="15">
        <v>45502</v>
      </c>
      <c r="E143" t="s">
        <v>23</v>
      </c>
      <c r="F143">
        <v>15</v>
      </c>
      <c r="G143" t="s">
        <v>20</v>
      </c>
      <c r="H143" t="s">
        <v>19</v>
      </c>
      <c r="I143">
        <v>30</v>
      </c>
      <c r="J143" t="s">
        <v>19</v>
      </c>
      <c r="K143">
        <v>20</v>
      </c>
      <c r="L143">
        <v>20</v>
      </c>
      <c r="M143">
        <v>45</v>
      </c>
    </row>
    <row r="144" spans="1:13" x14ac:dyDescent="0.25">
      <c r="A144">
        <v>3371</v>
      </c>
      <c r="B144" t="s">
        <v>168</v>
      </c>
      <c r="C144" t="s">
        <v>26</v>
      </c>
      <c r="D144" s="15">
        <v>45488</v>
      </c>
      <c r="E144" t="s">
        <v>23</v>
      </c>
      <c r="F144">
        <v>10</v>
      </c>
      <c r="G144" t="s">
        <v>20</v>
      </c>
      <c r="H144" t="s">
        <v>23</v>
      </c>
      <c r="I144" t="s">
        <v>311</v>
      </c>
      <c r="J144" t="s">
        <v>19</v>
      </c>
      <c r="K144">
        <v>20</v>
      </c>
      <c r="L144">
        <v>5</v>
      </c>
      <c r="M144">
        <v>25</v>
      </c>
    </row>
    <row r="145" spans="1:13" x14ac:dyDescent="0.25">
      <c r="A145">
        <v>3383</v>
      </c>
      <c r="B145" t="s">
        <v>180</v>
      </c>
      <c r="C145" t="s">
        <v>26</v>
      </c>
      <c r="D145" s="15">
        <v>45500</v>
      </c>
      <c r="E145" t="s">
        <v>23</v>
      </c>
      <c r="F145">
        <v>10</v>
      </c>
      <c r="G145" t="s">
        <v>20</v>
      </c>
      <c r="H145" t="s">
        <v>23</v>
      </c>
      <c r="I145" t="s">
        <v>311</v>
      </c>
      <c r="J145" t="s">
        <v>19</v>
      </c>
      <c r="K145">
        <v>20</v>
      </c>
      <c r="L145">
        <v>10</v>
      </c>
      <c r="M145">
        <v>20</v>
      </c>
    </row>
    <row r="146" spans="1:13" x14ac:dyDescent="0.25">
      <c r="A146">
        <v>3373</v>
      </c>
      <c r="B146" t="s">
        <v>170</v>
      </c>
      <c r="C146" t="s">
        <v>18</v>
      </c>
      <c r="D146" s="15">
        <v>45490</v>
      </c>
      <c r="E146" t="s">
        <v>23</v>
      </c>
      <c r="F146">
        <v>15</v>
      </c>
      <c r="G146" t="s">
        <v>27</v>
      </c>
      <c r="H146" t="s">
        <v>19</v>
      </c>
      <c r="I146">
        <v>30</v>
      </c>
      <c r="J146" t="s">
        <v>19</v>
      </c>
      <c r="K146">
        <v>20</v>
      </c>
      <c r="L146">
        <v>20</v>
      </c>
      <c r="M146">
        <v>45</v>
      </c>
    </row>
    <row r="147" spans="1:13" x14ac:dyDescent="0.25">
      <c r="A147">
        <v>3381</v>
      </c>
      <c r="B147" t="s">
        <v>178</v>
      </c>
      <c r="C147" t="s">
        <v>22</v>
      </c>
      <c r="D147" s="15">
        <v>45498</v>
      </c>
      <c r="E147" t="s">
        <v>23</v>
      </c>
      <c r="F147">
        <v>5</v>
      </c>
      <c r="G147" t="s">
        <v>20</v>
      </c>
      <c r="H147" t="s">
        <v>23</v>
      </c>
      <c r="I147" t="s">
        <v>311</v>
      </c>
      <c r="J147" t="s">
        <v>23</v>
      </c>
      <c r="K147">
        <v>0</v>
      </c>
      <c r="L147">
        <v>1</v>
      </c>
      <c r="M147">
        <v>4</v>
      </c>
    </row>
    <row r="148" spans="1:13" x14ac:dyDescent="0.25">
      <c r="A148">
        <v>3375</v>
      </c>
      <c r="B148" t="s">
        <v>172</v>
      </c>
      <c r="C148" t="s">
        <v>22</v>
      </c>
      <c r="D148" s="15">
        <v>45492</v>
      </c>
      <c r="E148" t="s">
        <v>23</v>
      </c>
      <c r="F148">
        <v>5</v>
      </c>
      <c r="G148" t="s">
        <v>20</v>
      </c>
      <c r="H148" t="s">
        <v>23</v>
      </c>
      <c r="I148" t="s">
        <v>311</v>
      </c>
      <c r="J148" t="s">
        <v>23</v>
      </c>
      <c r="K148">
        <v>0</v>
      </c>
      <c r="L148">
        <v>2</v>
      </c>
      <c r="M148">
        <v>3</v>
      </c>
    </row>
    <row r="149" spans="1:13" x14ac:dyDescent="0.25">
      <c r="A149">
        <v>3379</v>
      </c>
      <c r="B149" t="s">
        <v>176</v>
      </c>
      <c r="C149" t="s">
        <v>18</v>
      </c>
      <c r="D149" s="15">
        <v>45496</v>
      </c>
      <c r="E149" t="s">
        <v>23</v>
      </c>
      <c r="F149">
        <v>15</v>
      </c>
      <c r="G149" t="s">
        <v>20</v>
      </c>
      <c r="H149" t="s">
        <v>19</v>
      </c>
      <c r="I149">
        <v>30</v>
      </c>
      <c r="J149" t="s">
        <v>19</v>
      </c>
      <c r="K149">
        <v>20</v>
      </c>
      <c r="L149">
        <v>3</v>
      </c>
      <c r="M149">
        <v>62</v>
      </c>
    </row>
    <row r="150" spans="1:13" x14ac:dyDescent="0.25">
      <c r="A150">
        <v>3377</v>
      </c>
      <c r="B150" t="s">
        <v>174</v>
      </c>
      <c r="C150" t="s">
        <v>26</v>
      </c>
      <c r="D150" s="15">
        <v>45494</v>
      </c>
      <c r="E150" t="s">
        <v>23</v>
      </c>
      <c r="F150">
        <v>10</v>
      </c>
      <c r="G150" t="s">
        <v>20</v>
      </c>
      <c r="H150" t="s">
        <v>23</v>
      </c>
      <c r="I150" t="s">
        <v>311</v>
      </c>
      <c r="J150" t="s">
        <v>19</v>
      </c>
      <c r="K150">
        <v>20</v>
      </c>
      <c r="L150">
        <v>10</v>
      </c>
      <c r="M150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06CA-6212-46F2-A984-314DCE739A7B}">
  <sheetPr>
    <tabColor theme="3" tint="0.749992370372631"/>
  </sheetPr>
  <dimension ref="A1:M28"/>
  <sheetViews>
    <sheetView topLeftCell="J1" zoomScale="108" workbookViewId="0">
      <selection activeCell="K1" sqref="K1:K1048576"/>
    </sheetView>
  </sheetViews>
  <sheetFormatPr defaultRowHeight="15" x14ac:dyDescent="0.25"/>
  <cols>
    <col min="1" max="1" width="15.5703125" bestFit="1" customWidth="1"/>
    <col min="2" max="2" width="18.14062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6" t="s">
        <v>319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3493</v>
      </c>
      <c r="B4" t="s">
        <v>280</v>
      </c>
      <c r="C4" t="s">
        <v>18</v>
      </c>
      <c r="D4" s="15">
        <v>45610</v>
      </c>
      <c r="E4" t="s">
        <v>23</v>
      </c>
      <c r="F4">
        <v>15</v>
      </c>
      <c r="G4" t="s">
        <v>27</v>
      </c>
      <c r="H4" t="s">
        <v>19</v>
      </c>
      <c r="I4">
        <v>30</v>
      </c>
      <c r="J4" t="s">
        <v>19</v>
      </c>
      <c r="K4">
        <v>20</v>
      </c>
      <c r="L4">
        <v>20</v>
      </c>
      <c r="M4">
        <v>45</v>
      </c>
    </row>
    <row r="5" spans="1:13" x14ac:dyDescent="0.25">
      <c r="A5">
        <v>3489</v>
      </c>
      <c r="B5" t="s">
        <v>276</v>
      </c>
      <c r="C5" t="s">
        <v>22</v>
      </c>
      <c r="D5" s="15">
        <v>45606</v>
      </c>
      <c r="E5" t="s">
        <v>23</v>
      </c>
      <c r="F5">
        <v>5</v>
      </c>
      <c r="G5" t="s">
        <v>27</v>
      </c>
      <c r="H5" t="s">
        <v>23</v>
      </c>
      <c r="I5" t="s">
        <v>311</v>
      </c>
      <c r="J5" t="s">
        <v>23</v>
      </c>
      <c r="K5">
        <v>0</v>
      </c>
      <c r="L5">
        <v>1</v>
      </c>
      <c r="M5">
        <v>4</v>
      </c>
    </row>
    <row r="6" spans="1:13" x14ac:dyDescent="0.25">
      <c r="A6">
        <v>3487</v>
      </c>
      <c r="B6" t="s">
        <v>274</v>
      </c>
      <c r="C6" t="s">
        <v>18</v>
      </c>
      <c r="D6" s="15">
        <v>45604</v>
      </c>
      <c r="E6" t="s">
        <v>23</v>
      </c>
      <c r="F6">
        <v>15</v>
      </c>
      <c r="G6" t="s">
        <v>27</v>
      </c>
      <c r="H6" t="s">
        <v>19</v>
      </c>
      <c r="I6">
        <v>30</v>
      </c>
      <c r="J6" t="s">
        <v>19</v>
      </c>
      <c r="K6">
        <v>20</v>
      </c>
      <c r="L6">
        <v>7</v>
      </c>
      <c r="M6">
        <v>58</v>
      </c>
    </row>
    <row r="7" spans="1:13" x14ac:dyDescent="0.25">
      <c r="A7">
        <v>3443</v>
      </c>
      <c r="B7" t="s">
        <v>235</v>
      </c>
      <c r="C7" t="s">
        <v>18</v>
      </c>
      <c r="D7" s="15">
        <v>45560</v>
      </c>
      <c r="E7" t="s">
        <v>23</v>
      </c>
      <c r="F7">
        <v>15</v>
      </c>
      <c r="G7" t="s">
        <v>27</v>
      </c>
      <c r="H7" t="s">
        <v>19</v>
      </c>
      <c r="I7">
        <v>30</v>
      </c>
      <c r="J7" t="s">
        <v>19</v>
      </c>
      <c r="K7">
        <v>20</v>
      </c>
      <c r="L7">
        <v>20</v>
      </c>
      <c r="M7">
        <v>45</v>
      </c>
    </row>
    <row r="8" spans="1:13" x14ac:dyDescent="0.25">
      <c r="A8">
        <v>3439</v>
      </c>
      <c r="B8" t="s">
        <v>231</v>
      </c>
      <c r="C8" t="s">
        <v>22</v>
      </c>
      <c r="D8" s="15">
        <v>45556</v>
      </c>
      <c r="E8" t="s">
        <v>23</v>
      </c>
      <c r="F8">
        <v>5</v>
      </c>
      <c r="G8" t="s">
        <v>27</v>
      </c>
      <c r="H8" t="s">
        <v>23</v>
      </c>
      <c r="I8" t="s">
        <v>311</v>
      </c>
      <c r="J8" t="s">
        <v>23</v>
      </c>
      <c r="K8">
        <v>0</v>
      </c>
      <c r="L8">
        <v>1</v>
      </c>
      <c r="M8">
        <v>4</v>
      </c>
    </row>
    <row r="9" spans="1:13" x14ac:dyDescent="0.25">
      <c r="A9">
        <v>3437</v>
      </c>
      <c r="B9" t="s">
        <v>229</v>
      </c>
      <c r="C9" t="s">
        <v>18</v>
      </c>
      <c r="D9" s="15">
        <v>45554</v>
      </c>
      <c r="E9" t="s">
        <v>23</v>
      </c>
      <c r="F9">
        <v>15</v>
      </c>
      <c r="G9" t="s">
        <v>27</v>
      </c>
      <c r="H9" t="s">
        <v>19</v>
      </c>
      <c r="I9">
        <v>30</v>
      </c>
      <c r="J9" t="s">
        <v>19</v>
      </c>
      <c r="K9">
        <v>20</v>
      </c>
      <c r="L9">
        <v>7</v>
      </c>
      <c r="M9">
        <v>58</v>
      </c>
    </row>
    <row r="10" spans="1:13" x14ac:dyDescent="0.25">
      <c r="A10">
        <v>3413</v>
      </c>
      <c r="B10" t="s">
        <v>208</v>
      </c>
      <c r="C10" t="s">
        <v>18</v>
      </c>
      <c r="D10" s="15">
        <v>45530</v>
      </c>
      <c r="E10" t="s">
        <v>23</v>
      </c>
      <c r="F10">
        <v>15</v>
      </c>
      <c r="G10" t="s">
        <v>27</v>
      </c>
      <c r="H10" t="s">
        <v>19</v>
      </c>
      <c r="I10">
        <v>30</v>
      </c>
      <c r="J10" t="s">
        <v>19</v>
      </c>
      <c r="K10">
        <v>20</v>
      </c>
      <c r="L10">
        <v>20</v>
      </c>
      <c r="M10">
        <v>45</v>
      </c>
    </row>
    <row r="11" spans="1:13" x14ac:dyDescent="0.25">
      <c r="A11">
        <v>3409</v>
      </c>
      <c r="B11" t="s">
        <v>204</v>
      </c>
      <c r="C11" t="s">
        <v>22</v>
      </c>
      <c r="D11" s="15">
        <v>45526</v>
      </c>
      <c r="E11" t="s">
        <v>23</v>
      </c>
      <c r="F11">
        <v>5</v>
      </c>
      <c r="G11" t="s">
        <v>27</v>
      </c>
      <c r="H11" t="s">
        <v>23</v>
      </c>
      <c r="I11" t="s">
        <v>311</v>
      </c>
      <c r="J11" t="s">
        <v>23</v>
      </c>
      <c r="K11">
        <v>0</v>
      </c>
      <c r="L11">
        <v>1</v>
      </c>
      <c r="M11">
        <v>4</v>
      </c>
    </row>
    <row r="12" spans="1:13" x14ac:dyDescent="0.25">
      <c r="A12">
        <v>3407</v>
      </c>
      <c r="B12" t="s">
        <v>202</v>
      </c>
      <c r="C12" t="s">
        <v>18</v>
      </c>
      <c r="D12" s="15">
        <v>45524</v>
      </c>
      <c r="E12" t="s">
        <v>23</v>
      </c>
      <c r="F12">
        <v>15</v>
      </c>
      <c r="G12" t="s">
        <v>27</v>
      </c>
      <c r="H12" t="s">
        <v>19</v>
      </c>
      <c r="I12">
        <v>30</v>
      </c>
      <c r="J12" t="s">
        <v>19</v>
      </c>
      <c r="K12">
        <v>20</v>
      </c>
      <c r="L12">
        <v>7</v>
      </c>
      <c r="M12">
        <v>58</v>
      </c>
    </row>
    <row r="13" spans="1:13" x14ac:dyDescent="0.25">
      <c r="A13">
        <v>3373</v>
      </c>
      <c r="B13" t="s">
        <v>170</v>
      </c>
      <c r="C13" t="s">
        <v>18</v>
      </c>
      <c r="D13" s="15">
        <v>45490</v>
      </c>
      <c r="E13" t="s">
        <v>23</v>
      </c>
      <c r="F13">
        <v>15</v>
      </c>
      <c r="G13" t="s">
        <v>27</v>
      </c>
      <c r="H13" t="s">
        <v>19</v>
      </c>
      <c r="I13">
        <v>30</v>
      </c>
      <c r="J13" t="s">
        <v>19</v>
      </c>
      <c r="K13">
        <v>20</v>
      </c>
      <c r="L13">
        <v>20</v>
      </c>
      <c r="M13">
        <v>45</v>
      </c>
    </row>
    <row r="14" spans="1:13" x14ac:dyDescent="0.25">
      <c r="A14">
        <v>3369</v>
      </c>
      <c r="B14" t="s">
        <v>166</v>
      </c>
      <c r="C14" t="s">
        <v>22</v>
      </c>
      <c r="D14" s="15">
        <v>45486</v>
      </c>
      <c r="E14" t="s">
        <v>23</v>
      </c>
      <c r="F14">
        <v>5</v>
      </c>
      <c r="G14" t="s">
        <v>27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25">
      <c r="A15">
        <v>3367</v>
      </c>
      <c r="B15" t="s">
        <v>164</v>
      </c>
      <c r="C15" t="s">
        <v>18</v>
      </c>
      <c r="D15" s="15">
        <v>45484</v>
      </c>
      <c r="E15" t="s">
        <v>23</v>
      </c>
      <c r="F15">
        <v>15</v>
      </c>
      <c r="G15" t="s">
        <v>27</v>
      </c>
      <c r="H15" t="s">
        <v>19</v>
      </c>
      <c r="I15">
        <v>30</v>
      </c>
      <c r="J15" t="s">
        <v>19</v>
      </c>
      <c r="K15">
        <v>20</v>
      </c>
      <c r="L15">
        <v>7</v>
      </c>
      <c r="M15">
        <v>58</v>
      </c>
    </row>
    <row r="16" spans="1:13" x14ac:dyDescent="0.25">
      <c r="A16">
        <v>3343</v>
      </c>
      <c r="B16" t="s">
        <v>141</v>
      </c>
      <c r="C16" t="s">
        <v>18</v>
      </c>
      <c r="D16" s="15">
        <v>45460</v>
      </c>
      <c r="E16" t="s">
        <v>23</v>
      </c>
      <c r="F16">
        <v>15</v>
      </c>
      <c r="G16" t="s">
        <v>27</v>
      </c>
      <c r="H16" t="s">
        <v>19</v>
      </c>
      <c r="I16">
        <v>30</v>
      </c>
      <c r="J16" t="s">
        <v>19</v>
      </c>
      <c r="K16">
        <v>20</v>
      </c>
      <c r="L16">
        <v>20</v>
      </c>
      <c r="M16">
        <v>45</v>
      </c>
    </row>
    <row r="17" spans="1:13" x14ac:dyDescent="0.25">
      <c r="A17">
        <v>3339</v>
      </c>
      <c r="B17" t="s">
        <v>137</v>
      </c>
      <c r="C17" t="s">
        <v>22</v>
      </c>
      <c r="D17" s="15">
        <v>45456</v>
      </c>
      <c r="E17" t="s">
        <v>23</v>
      </c>
      <c r="F17">
        <v>5</v>
      </c>
      <c r="G17" t="s">
        <v>27</v>
      </c>
      <c r="H17" t="s">
        <v>23</v>
      </c>
      <c r="I17" t="s">
        <v>311</v>
      </c>
      <c r="J17" t="s">
        <v>23</v>
      </c>
      <c r="K17">
        <v>0</v>
      </c>
      <c r="L17">
        <v>1</v>
      </c>
      <c r="M17">
        <v>4</v>
      </c>
    </row>
    <row r="18" spans="1:13" x14ac:dyDescent="0.25">
      <c r="A18">
        <v>3337</v>
      </c>
      <c r="B18" t="s">
        <v>135</v>
      </c>
      <c r="C18" t="s">
        <v>18</v>
      </c>
      <c r="D18" s="15">
        <v>45454</v>
      </c>
      <c r="E18" t="s">
        <v>23</v>
      </c>
      <c r="F18">
        <v>15</v>
      </c>
      <c r="G18" t="s">
        <v>27</v>
      </c>
      <c r="H18" t="s">
        <v>19</v>
      </c>
      <c r="I18">
        <v>30</v>
      </c>
      <c r="J18" t="s">
        <v>19</v>
      </c>
      <c r="K18">
        <v>20</v>
      </c>
      <c r="L18">
        <v>7</v>
      </c>
      <c r="M18">
        <v>58</v>
      </c>
    </row>
    <row r="19" spans="1:13" x14ac:dyDescent="0.25">
      <c r="A19">
        <v>3334</v>
      </c>
      <c r="B19" t="s">
        <v>132</v>
      </c>
      <c r="C19" t="s">
        <v>26</v>
      </c>
      <c r="D19" s="15">
        <v>45451</v>
      </c>
      <c r="E19" t="s">
        <v>23</v>
      </c>
      <c r="F19">
        <v>10</v>
      </c>
      <c r="G19" t="s">
        <v>27</v>
      </c>
      <c r="H19" t="s">
        <v>23</v>
      </c>
      <c r="I19" t="s">
        <v>311</v>
      </c>
      <c r="J19" t="s">
        <v>19</v>
      </c>
      <c r="K19">
        <v>20</v>
      </c>
      <c r="L19">
        <v>12</v>
      </c>
      <c r="M19">
        <v>18</v>
      </c>
    </row>
    <row r="20" spans="1:13" x14ac:dyDescent="0.25">
      <c r="A20">
        <v>3324</v>
      </c>
      <c r="B20" t="s">
        <v>122</v>
      </c>
      <c r="C20" t="s">
        <v>18</v>
      </c>
      <c r="D20" s="15">
        <v>45441</v>
      </c>
      <c r="E20" t="s">
        <v>23</v>
      </c>
      <c r="F20">
        <v>15</v>
      </c>
      <c r="G20" t="s">
        <v>27</v>
      </c>
      <c r="H20" t="s">
        <v>19</v>
      </c>
      <c r="I20">
        <v>30</v>
      </c>
      <c r="J20" t="s">
        <v>19</v>
      </c>
      <c r="K20">
        <v>20</v>
      </c>
      <c r="L20">
        <v>20</v>
      </c>
      <c r="M20">
        <v>45</v>
      </c>
    </row>
    <row r="21" spans="1:13" x14ac:dyDescent="0.25">
      <c r="A21">
        <v>3320</v>
      </c>
      <c r="B21" t="s">
        <v>118</v>
      </c>
      <c r="C21" t="s">
        <v>22</v>
      </c>
      <c r="D21" s="15">
        <v>45437</v>
      </c>
      <c r="E21" t="s">
        <v>23</v>
      </c>
      <c r="F21">
        <v>5</v>
      </c>
      <c r="G21" t="s">
        <v>27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25">
      <c r="A22">
        <v>3316</v>
      </c>
      <c r="B22" t="s">
        <v>114</v>
      </c>
      <c r="C22" t="s">
        <v>26</v>
      </c>
      <c r="D22" s="15">
        <v>45433</v>
      </c>
      <c r="E22" t="s">
        <v>23</v>
      </c>
      <c r="F22">
        <v>10</v>
      </c>
      <c r="G22" t="s">
        <v>27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25">
      <c r="A23">
        <v>3312</v>
      </c>
      <c r="B23" t="s">
        <v>110</v>
      </c>
      <c r="C23" t="s">
        <v>18</v>
      </c>
      <c r="D23" s="15">
        <v>45429</v>
      </c>
      <c r="E23" t="s">
        <v>23</v>
      </c>
      <c r="F23">
        <v>15</v>
      </c>
      <c r="G23" t="s">
        <v>27</v>
      </c>
      <c r="H23" t="s">
        <v>19</v>
      </c>
      <c r="I23">
        <v>30</v>
      </c>
      <c r="J23" t="s">
        <v>19</v>
      </c>
      <c r="K23">
        <v>20</v>
      </c>
      <c r="L23">
        <v>7</v>
      </c>
      <c r="M23">
        <v>58</v>
      </c>
    </row>
    <row r="24" spans="1:13" x14ac:dyDescent="0.25">
      <c r="A24">
        <v>3308</v>
      </c>
      <c r="B24" t="s">
        <v>106</v>
      </c>
      <c r="C24" t="s">
        <v>22</v>
      </c>
      <c r="D24" s="15">
        <v>45425</v>
      </c>
      <c r="E24" t="s">
        <v>23</v>
      </c>
      <c r="F24">
        <v>5</v>
      </c>
      <c r="G24" t="s">
        <v>27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25">
      <c r="A25">
        <v>3304</v>
      </c>
      <c r="B25" t="s">
        <v>102</v>
      </c>
      <c r="C25" t="s">
        <v>26</v>
      </c>
      <c r="D25" s="15">
        <v>45421</v>
      </c>
      <c r="E25" t="s">
        <v>23</v>
      </c>
      <c r="F25">
        <v>10</v>
      </c>
      <c r="G25" t="s">
        <v>27</v>
      </c>
      <c r="H25" t="s">
        <v>23</v>
      </c>
      <c r="I25" t="s">
        <v>311</v>
      </c>
      <c r="J25" t="s">
        <v>19</v>
      </c>
      <c r="K25">
        <v>20</v>
      </c>
      <c r="L25">
        <v>12</v>
      </c>
      <c r="M25">
        <v>18</v>
      </c>
    </row>
    <row r="26" spans="1:13" x14ac:dyDescent="0.25">
      <c r="A26">
        <v>3273</v>
      </c>
      <c r="B26" t="s">
        <v>71</v>
      </c>
      <c r="C26" t="s">
        <v>18</v>
      </c>
      <c r="D26" s="15">
        <v>45390</v>
      </c>
      <c r="E26" t="s">
        <v>23</v>
      </c>
      <c r="F26">
        <v>15</v>
      </c>
      <c r="G26" t="s">
        <v>27</v>
      </c>
      <c r="H26" t="s">
        <v>19</v>
      </c>
      <c r="I26">
        <v>30</v>
      </c>
      <c r="J26" t="s">
        <v>19</v>
      </c>
      <c r="K26">
        <v>20</v>
      </c>
      <c r="L26">
        <v>20</v>
      </c>
      <c r="M26">
        <v>45</v>
      </c>
    </row>
    <row r="27" spans="1:13" x14ac:dyDescent="0.25">
      <c r="A27">
        <v>3269</v>
      </c>
      <c r="B27" t="s">
        <v>67</v>
      </c>
      <c r="C27" t="s">
        <v>22</v>
      </c>
      <c r="D27" s="15">
        <v>45386</v>
      </c>
      <c r="E27" t="s">
        <v>23</v>
      </c>
      <c r="F27">
        <v>5</v>
      </c>
      <c r="G27" t="s">
        <v>27</v>
      </c>
      <c r="H27" t="s">
        <v>23</v>
      </c>
      <c r="I27" t="s">
        <v>311</v>
      </c>
      <c r="J27" t="s">
        <v>23</v>
      </c>
      <c r="K27">
        <v>0</v>
      </c>
      <c r="L27">
        <v>1</v>
      </c>
      <c r="M27">
        <v>4</v>
      </c>
    </row>
    <row r="28" spans="1:13" x14ac:dyDescent="0.25">
      <c r="A28">
        <v>3267</v>
      </c>
      <c r="B28" t="s">
        <v>65</v>
      </c>
      <c r="C28" t="s">
        <v>18</v>
      </c>
      <c r="D28" s="15">
        <v>45384</v>
      </c>
      <c r="E28" t="s">
        <v>23</v>
      </c>
      <c r="F28">
        <v>15</v>
      </c>
      <c r="G28" t="s">
        <v>27</v>
      </c>
      <c r="H28" t="s">
        <v>19</v>
      </c>
      <c r="I28">
        <v>30</v>
      </c>
      <c r="J28" t="s">
        <v>19</v>
      </c>
      <c r="K28">
        <v>20</v>
      </c>
      <c r="L28">
        <v>7</v>
      </c>
      <c r="M28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D30"/>
  <sheetViews>
    <sheetView showGridLines="0" topLeftCell="A5" zoomScale="66" zoomScaleNormal="65" workbookViewId="0">
      <selection activeCell="D30" sqref="D30"/>
    </sheetView>
  </sheetViews>
  <sheetFormatPr defaultRowHeight="15" x14ac:dyDescent="0.25"/>
  <cols>
    <col min="1" max="1" width="25.42578125" bestFit="1" customWidth="1"/>
    <col min="2" max="2" width="48.57031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1:2" x14ac:dyDescent="0.25">
      <c r="A3" s="12" t="s">
        <v>16</v>
      </c>
      <c r="B3" t="s">
        <v>24</v>
      </c>
    </row>
    <row r="4" spans="1:2" x14ac:dyDescent="0.25">
      <c r="A4" t="s">
        <v>316</v>
      </c>
    </row>
    <row r="5" spans="1:2" x14ac:dyDescent="0.25">
      <c r="A5" s="12" t="s">
        <v>313</v>
      </c>
      <c r="B5" t="s">
        <v>315</v>
      </c>
    </row>
    <row r="6" spans="1:2" x14ac:dyDescent="0.25">
      <c r="A6" s="13" t="s">
        <v>23</v>
      </c>
      <c r="B6" s="14">
        <v>217</v>
      </c>
    </row>
    <row r="7" spans="1:2" x14ac:dyDescent="0.25">
      <c r="A7" s="13" t="s">
        <v>19</v>
      </c>
      <c r="B7" s="14">
        <v>1537</v>
      </c>
    </row>
    <row r="8" spans="1:2" x14ac:dyDescent="0.25">
      <c r="A8" s="13" t="s">
        <v>314</v>
      </c>
      <c r="B8" s="14">
        <v>1754</v>
      </c>
    </row>
    <row r="11" spans="1:2" x14ac:dyDescent="0.25">
      <c r="A11" s="13" t="s">
        <v>318</v>
      </c>
    </row>
    <row r="13" spans="1:2" x14ac:dyDescent="0.25">
      <c r="A13" s="12" t="s">
        <v>16</v>
      </c>
      <c r="B13" t="s">
        <v>24</v>
      </c>
    </row>
    <row r="15" spans="1:2" x14ac:dyDescent="0.25">
      <c r="A15" s="12" t="s">
        <v>313</v>
      </c>
      <c r="B15" t="s">
        <v>320</v>
      </c>
    </row>
    <row r="16" spans="1:2" x14ac:dyDescent="0.25">
      <c r="A16" s="13" t="s">
        <v>22</v>
      </c>
      <c r="B16" s="21">
        <v>0</v>
      </c>
    </row>
    <row r="17" spans="1:4" x14ac:dyDescent="0.25">
      <c r="A17" s="13" t="s">
        <v>26</v>
      </c>
      <c r="B17" s="21">
        <v>0</v>
      </c>
    </row>
    <row r="18" spans="1:4" x14ac:dyDescent="0.25">
      <c r="A18" s="13" t="s">
        <v>18</v>
      </c>
      <c r="B18" s="21">
        <v>600</v>
      </c>
      <c r="D18" s="20">
        <f>GETPIVOTDATA("EA Play Season Pass
Price",$A$15,"Plan","Ultimate")</f>
        <v>600</v>
      </c>
    </row>
    <row r="19" spans="1:4" x14ac:dyDescent="0.25">
      <c r="A19" s="13" t="s">
        <v>314</v>
      </c>
      <c r="B19" s="21">
        <v>600</v>
      </c>
    </row>
    <row r="22" spans="1:4" x14ac:dyDescent="0.25">
      <c r="A22" s="13" t="s">
        <v>321</v>
      </c>
    </row>
    <row r="24" spans="1:4" x14ac:dyDescent="0.25">
      <c r="A24" s="12" t="s">
        <v>16</v>
      </c>
      <c r="B24" t="s">
        <v>24</v>
      </c>
    </row>
    <row r="26" spans="1:4" x14ac:dyDescent="0.25">
      <c r="A26" s="12" t="s">
        <v>313</v>
      </c>
      <c r="B26" t="s">
        <v>322</v>
      </c>
    </row>
    <row r="27" spans="1:4" x14ac:dyDescent="0.25">
      <c r="A27" s="13" t="s">
        <v>22</v>
      </c>
      <c r="B27" s="14">
        <v>0</v>
      </c>
    </row>
    <row r="28" spans="1:4" x14ac:dyDescent="0.25">
      <c r="A28" s="13" t="s">
        <v>26</v>
      </c>
      <c r="B28" s="14">
        <v>540</v>
      </c>
    </row>
    <row r="29" spans="1:4" x14ac:dyDescent="0.25">
      <c r="A29" s="13" t="s">
        <v>18</v>
      </c>
      <c r="B29" s="14">
        <v>400</v>
      </c>
    </row>
    <row r="30" spans="1:4" x14ac:dyDescent="0.25">
      <c r="A30" s="13" t="s">
        <v>314</v>
      </c>
      <c r="B30" s="14">
        <v>940</v>
      </c>
      <c r="D30" s="20">
        <f>GETPIVOTDATA("Minecraft Season Pass Price",$A$26)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C117"/>
  <sheetViews>
    <sheetView showGridLines="0" tabSelected="1" topLeftCell="A2" zoomScale="107" zoomScaleNormal="39" workbookViewId="0">
      <selection activeCell="Y18" sqref="Y18"/>
    </sheetView>
  </sheetViews>
  <sheetFormatPr defaultRowHeight="15" x14ac:dyDescent="0.25"/>
  <cols>
    <col min="1" max="1" width="27.140625" style="5" customWidth="1"/>
    <col min="2" max="2" width="3.5703125" customWidth="1"/>
    <col min="12" max="12" width="6.5703125" customWidth="1"/>
  </cols>
  <sheetData>
    <row r="3" spans="1:3" s="18" customFormat="1" ht="90" customHeight="1" x14ac:dyDescent="0.25">
      <c r="A3" s="17"/>
      <c r="C3" s="19" t="s">
        <v>323</v>
      </c>
    </row>
    <row r="4" spans="1:3" s="7" customFormat="1" ht="12.75" customHeight="1" x14ac:dyDescent="0.25">
      <c r="A4" s="5"/>
    </row>
    <row r="5" spans="1:3" s="7" customFormat="1" ht="16.5" customHeight="1" x14ac:dyDescent="0.25">
      <c r="A5" s="5"/>
    </row>
    <row r="6" spans="1:3" s="7" customFormat="1" ht="18" customHeight="1" x14ac:dyDescent="0.25">
      <c r="A6" s="5"/>
    </row>
    <row r="7" spans="1:3" s="7" customFormat="1" ht="15" customHeight="1" x14ac:dyDescent="0.25">
      <c r="A7" s="5"/>
    </row>
    <row r="8" spans="1:3" s="7" customFormat="1" x14ac:dyDescent="0.25">
      <c r="A8" s="5"/>
    </row>
    <row r="9" spans="1:3" s="7" customFormat="1" x14ac:dyDescent="0.25">
      <c r="A9" s="5"/>
    </row>
    <row r="10" spans="1:3" s="7" customFormat="1" x14ac:dyDescent="0.25">
      <c r="A10" s="5"/>
    </row>
    <row r="11" spans="1:3" s="7" customFormat="1" x14ac:dyDescent="0.25">
      <c r="A11" s="5"/>
    </row>
    <row r="12" spans="1:3" s="7" customFormat="1" x14ac:dyDescent="0.25">
      <c r="A12" s="5"/>
    </row>
    <row r="13" spans="1:3" s="7" customFormat="1" x14ac:dyDescent="0.25">
      <c r="A13" s="5"/>
    </row>
    <row r="14" spans="1:3" s="7" customFormat="1" x14ac:dyDescent="0.25">
      <c r="A14" s="5"/>
    </row>
    <row r="15" spans="1:3" s="7" customFormat="1" x14ac:dyDescent="0.25">
      <c r="A15" s="5"/>
    </row>
    <row r="16" spans="1:3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19483571-f922-4e8e-9c1c-26f0a2252132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851b35d3-0456-4d6a-bc2f-da927e91d158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Detalhes1</vt:lpstr>
      <vt:lpstr>Detalhes2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Joyce Guimarães</cp:lastModifiedBy>
  <dcterms:created xsi:type="dcterms:W3CDTF">2024-12-19T13:13:10Z</dcterms:created>
  <dcterms:modified xsi:type="dcterms:W3CDTF">2026-01-09T01:52:52Z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